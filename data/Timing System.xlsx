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unning Club\20260913 Baan Pong CrossCountry\"/>
    </mc:Choice>
  </mc:AlternateContent>
  <xr:revisionPtr revIDLastSave="0" documentId="13_ncr:1_{2C13B17B-B4A2-4BD6-8218-624A0DE63F0E}" xr6:coauthVersionLast="47" xr6:coauthVersionMax="47" xr10:uidLastSave="{00000000-0000-0000-0000-000000000000}"/>
  <bookViews>
    <workbookView xWindow="-108" yWindow="-108" windowWidth="23256" windowHeight="12456" tabRatio="803" xr2:uid="{00000000-000D-0000-FFFF-FFFF00000000}"/>
  </bookViews>
  <sheets>
    <sheet name="MKN Slip" sheetId="12" r:id="rId1"/>
    <sheet name="(3)Summary Finished" sheetId="10" r:id="rId2"/>
    <sheet name="(2)Check In" sheetId="15" r:id="rId3"/>
    <sheet name="(1)Check Bib" sheetId="6" r:id="rId4"/>
    <sheet name="Runner List" sheetId="14" r:id="rId5"/>
  </sheets>
  <definedNames>
    <definedName name="_xlnm._FilterDatabase" localSheetId="3" hidden="1">'(1)Check Bib'!$A$3:$BE$203</definedName>
    <definedName name="_xlnm._FilterDatabase" localSheetId="2" hidden="1">'(2)Check In'!$A$3:$BF$203</definedName>
    <definedName name="_xlnm._FilterDatabase" localSheetId="1" hidden="1">'(3)Summary Finished'!$A$3:$R$201</definedName>
    <definedName name="_xlnm._FilterDatabase" localSheetId="4" hidden="1">'Runner List'!$A$2:$S$202</definedName>
    <definedName name="_xlnm.Print_Area" localSheetId="1">'(3)Summary Finished'!$A$1:$O$151</definedName>
    <definedName name="_xlnm.Print_Area" localSheetId="0">'MKN Slip'!$A$1:$F$22</definedName>
    <definedName name="_xlnm.Print_Area" localSheetId="4">'Runner List'!$A$1:$Q$120</definedName>
    <definedName name="_xlnm.Print_Titles" localSheetId="1">'(3)Summary Finished'!$2:$3</definedName>
    <definedName name="_xlnm.Print_Titles" localSheetId="4">'Runner List'!$1:$1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0" l="1"/>
  <c r="E54" i="10"/>
  <c r="E10" i="10"/>
  <c r="F10" i="10"/>
  <c r="G10" i="10"/>
  <c r="H10" i="10"/>
  <c r="V3" i="14"/>
  <c r="D100" i="6"/>
  <c r="D20" i="6"/>
  <c r="F124" i="14"/>
  <c r="F82" i="14"/>
  <c r="F83" i="14"/>
  <c r="F84" i="14"/>
  <c r="F75" i="14"/>
  <c r="F76" i="14"/>
  <c r="F77" i="14"/>
  <c r="F78" i="14"/>
  <c r="F79" i="14"/>
  <c r="F80" i="14"/>
  <c r="F81" i="14"/>
  <c r="C201" i="10"/>
  <c r="D201" i="10"/>
  <c r="E201" i="10"/>
  <c r="F201" i="10"/>
  <c r="G201" i="10"/>
  <c r="H201" i="10"/>
  <c r="I201" i="10"/>
  <c r="J201" i="10"/>
  <c r="K201" i="10"/>
  <c r="C193" i="10"/>
  <c r="D193" i="10"/>
  <c r="E193" i="10"/>
  <c r="F193" i="10"/>
  <c r="G193" i="10"/>
  <c r="H193" i="10"/>
  <c r="I193" i="10"/>
  <c r="J193" i="10"/>
  <c r="K193" i="10"/>
  <c r="C194" i="10"/>
  <c r="D194" i="10"/>
  <c r="E194" i="10"/>
  <c r="F194" i="10"/>
  <c r="G194" i="10"/>
  <c r="H194" i="10"/>
  <c r="I194" i="10"/>
  <c r="J194" i="10"/>
  <c r="K194" i="10"/>
  <c r="C195" i="10"/>
  <c r="D195" i="10"/>
  <c r="E195" i="10"/>
  <c r="F195" i="10"/>
  <c r="G195" i="10"/>
  <c r="H195" i="10"/>
  <c r="I195" i="10"/>
  <c r="J195" i="10"/>
  <c r="K195" i="10"/>
  <c r="C196" i="10"/>
  <c r="D196" i="10"/>
  <c r="E196" i="10"/>
  <c r="F196" i="10"/>
  <c r="G196" i="10"/>
  <c r="H196" i="10"/>
  <c r="I196" i="10"/>
  <c r="J196" i="10"/>
  <c r="K196" i="10"/>
  <c r="C197" i="10"/>
  <c r="D197" i="10"/>
  <c r="E197" i="10"/>
  <c r="F197" i="10"/>
  <c r="G197" i="10"/>
  <c r="H197" i="10"/>
  <c r="I197" i="10"/>
  <c r="J197" i="10"/>
  <c r="K197" i="10"/>
  <c r="C198" i="10"/>
  <c r="D198" i="10"/>
  <c r="E198" i="10"/>
  <c r="F198" i="10"/>
  <c r="G198" i="10"/>
  <c r="H198" i="10"/>
  <c r="I198" i="10"/>
  <c r="J198" i="10"/>
  <c r="K198" i="10"/>
  <c r="C199" i="10"/>
  <c r="D199" i="10"/>
  <c r="E199" i="10"/>
  <c r="F199" i="10"/>
  <c r="G199" i="10"/>
  <c r="H199" i="10"/>
  <c r="I199" i="10"/>
  <c r="J199" i="10"/>
  <c r="K199" i="10"/>
  <c r="C200" i="10"/>
  <c r="D200" i="10"/>
  <c r="E200" i="10"/>
  <c r="F200" i="10"/>
  <c r="G200" i="10"/>
  <c r="H200" i="10"/>
  <c r="I200" i="10"/>
  <c r="J200" i="10"/>
  <c r="K200" i="10"/>
  <c r="C184" i="10"/>
  <c r="D184" i="10"/>
  <c r="E184" i="10"/>
  <c r="F184" i="10"/>
  <c r="G184" i="10"/>
  <c r="H184" i="10"/>
  <c r="I184" i="10"/>
  <c r="J184" i="10"/>
  <c r="K184" i="10"/>
  <c r="C185" i="10"/>
  <c r="D185" i="10"/>
  <c r="E185" i="10"/>
  <c r="F185" i="10"/>
  <c r="G185" i="10"/>
  <c r="H185" i="10"/>
  <c r="I185" i="10"/>
  <c r="J185" i="10"/>
  <c r="K185" i="10"/>
  <c r="C186" i="10"/>
  <c r="D186" i="10"/>
  <c r="E186" i="10"/>
  <c r="F186" i="10"/>
  <c r="G186" i="10"/>
  <c r="H186" i="10"/>
  <c r="I186" i="10"/>
  <c r="J186" i="10"/>
  <c r="K186" i="10"/>
  <c r="C187" i="10"/>
  <c r="D187" i="10"/>
  <c r="E187" i="10"/>
  <c r="F187" i="10"/>
  <c r="G187" i="10"/>
  <c r="H187" i="10"/>
  <c r="I187" i="10"/>
  <c r="J187" i="10"/>
  <c r="K187" i="10"/>
  <c r="C188" i="10"/>
  <c r="D188" i="10"/>
  <c r="E188" i="10"/>
  <c r="F188" i="10"/>
  <c r="G188" i="10"/>
  <c r="H188" i="10"/>
  <c r="I188" i="10"/>
  <c r="J188" i="10"/>
  <c r="K188" i="10"/>
  <c r="C189" i="10"/>
  <c r="D189" i="10"/>
  <c r="E189" i="10"/>
  <c r="F189" i="10"/>
  <c r="G189" i="10"/>
  <c r="H189" i="10"/>
  <c r="I189" i="10"/>
  <c r="J189" i="10"/>
  <c r="K189" i="10"/>
  <c r="C190" i="10"/>
  <c r="D190" i="10"/>
  <c r="E190" i="10"/>
  <c r="F190" i="10"/>
  <c r="G190" i="10"/>
  <c r="H190" i="10"/>
  <c r="I190" i="10"/>
  <c r="J190" i="10"/>
  <c r="K190" i="10"/>
  <c r="C191" i="10"/>
  <c r="D191" i="10"/>
  <c r="E191" i="10"/>
  <c r="F191" i="10"/>
  <c r="G191" i="10"/>
  <c r="H191" i="10"/>
  <c r="I191" i="10"/>
  <c r="J191" i="10"/>
  <c r="K191" i="10"/>
  <c r="C192" i="10"/>
  <c r="D192" i="10"/>
  <c r="E192" i="10"/>
  <c r="F192" i="10"/>
  <c r="G192" i="10"/>
  <c r="H192" i="10"/>
  <c r="I192" i="10"/>
  <c r="J192" i="10"/>
  <c r="K192" i="10"/>
  <c r="C152" i="10"/>
  <c r="D152" i="10"/>
  <c r="E152" i="10"/>
  <c r="F152" i="10"/>
  <c r="G152" i="10"/>
  <c r="H152" i="10"/>
  <c r="I152" i="10"/>
  <c r="J152" i="10"/>
  <c r="K152" i="10"/>
  <c r="C153" i="10"/>
  <c r="D153" i="10"/>
  <c r="E153" i="10"/>
  <c r="F153" i="10"/>
  <c r="G153" i="10"/>
  <c r="H153" i="10"/>
  <c r="I153" i="10"/>
  <c r="J153" i="10"/>
  <c r="K153" i="10"/>
  <c r="C154" i="10"/>
  <c r="D154" i="10"/>
  <c r="E154" i="10"/>
  <c r="F154" i="10"/>
  <c r="G154" i="10"/>
  <c r="H154" i="10"/>
  <c r="I154" i="10"/>
  <c r="J154" i="10"/>
  <c r="K154" i="10"/>
  <c r="C155" i="10"/>
  <c r="D155" i="10"/>
  <c r="E155" i="10"/>
  <c r="F155" i="10"/>
  <c r="G155" i="10"/>
  <c r="H155" i="10"/>
  <c r="I155" i="10"/>
  <c r="J155" i="10"/>
  <c r="K155" i="10"/>
  <c r="C156" i="10"/>
  <c r="D156" i="10"/>
  <c r="E156" i="10"/>
  <c r="F156" i="10"/>
  <c r="G156" i="10"/>
  <c r="H156" i="10"/>
  <c r="I156" i="10"/>
  <c r="J156" i="10"/>
  <c r="K156" i="10"/>
  <c r="C157" i="10"/>
  <c r="D157" i="10"/>
  <c r="E157" i="10"/>
  <c r="F157" i="10"/>
  <c r="G157" i="10"/>
  <c r="H157" i="10"/>
  <c r="I157" i="10"/>
  <c r="J157" i="10"/>
  <c r="K157" i="10"/>
  <c r="C158" i="10"/>
  <c r="D158" i="10"/>
  <c r="E158" i="10"/>
  <c r="F158" i="10"/>
  <c r="G158" i="10"/>
  <c r="H158" i="10"/>
  <c r="I158" i="10"/>
  <c r="J158" i="10"/>
  <c r="K158" i="10"/>
  <c r="C159" i="10"/>
  <c r="D159" i="10"/>
  <c r="E159" i="10"/>
  <c r="F159" i="10"/>
  <c r="G159" i="10"/>
  <c r="H159" i="10"/>
  <c r="I159" i="10"/>
  <c r="J159" i="10"/>
  <c r="K159" i="10"/>
  <c r="C160" i="10"/>
  <c r="D160" i="10"/>
  <c r="E160" i="10"/>
  <c r="F160" i="10"/>
  <c r="G160" i="10"/>
  <c r="H160" i="10"/>
  <c r="I160" i="10"/>
  <c r="J160" i="10"/>
  <c r="K160" i="10"/>
  <c r="C161" i="10"/>
  <c r="D161" i="10"/>
  <c r="E161" i="10"/>
  <c r="F161" i="10"/>
  <c r="G161" i="10"/>
  <c r="H161" i="10"/>
  <c r="I161" i="10"/>
  <c r="J161" i="10"/>
  <c r="K161" i="10"/>
  <c r="C162" i="10"/>
  <c r="D162" i="10"/>
  <c r="E162" i="10"/>
  <c r="F162" i="10"/>
  <c r="G162" i="10"/>
  <c r="H162" i="10"/>
  <c r="I162" i="10"/>
  <c r="J162" i="10"/>
  <c r="K162" i="10"/>
  <c r="C163" i="10"/>
  <c r="D163" i="10"/>
  <c r="E163" i="10"/>
  <c r="F163" i="10"/>
  <c r="G163" i="10"/>
  <c r="H163" i="10"/>
  <c r="I163" i="10"/>
  <c r="J163" i="10"/>
  <c r="K163" i="10"/>
  <c r="C164" i="10"/>
  <c r="D164" i="10"/>
  <c r="E164" i="10"/>
  <c r="F164" i="10"/>
  <c r="G164" i="10"/>
  <c r="H164" i="10"/>
  <c r="I164" i="10"/>
  <c r="J164" i="10"/>
  <c r="K164" i="10"/>
  <c r="C165" i="10"/>
  <c r="D165" i="10"/>
  <c r="E165" i="10"/>
  <c r="F165" i="10"/>
  <c r="G165" i="10"/>
  <c r="H165" i="10"/>
  <c r="I165" i="10"/>
  <c r="J165" i="10"/>
  <c r="K165" i="10"/>
  <c r="C166" i="10"/>
  <c r="D166" i="10"/>
  <c r="E166" i="10"/>
  <c r="F166" i="10"/>
  <c r="G166" i="10"/>
  <c r="H166" i="10"/>
  <c r="I166" i="10"/>
  <c r="J166" i="10"/>
  <c r="K166" i="10"/>
  <c r="C167" i="10"/>
  <c r="D167" i="10"/>
  <c r="E167" i="10"/>
  <c r="F167" i="10"/>
  <c r="G167" i="10"/>
  <c r="H167" i="10"/>
  <c r="I167" i="10"/>
  <c r="J167" i="10"/>
  <c r="K167" i="10"/>
  <c r="C168" i="10"/>
  <c r="D168" i="10"/>
  <c r="E168" i="10"/>
  <c r="F168" i="10"/>
  <c r="G168" i="10"/>
  <c r="H168" i="10"/>
  <c r="I168" i="10"/>
  <c r="J168" i="10"/>
  <c r="K168" i="10"/>
  <c r="C169" i="10"/>
  <c r="D169" i="10"/>
  <c r="E169" i="10"/>
  <c r="F169" i="10"/>
  <c r="G169" i="10"/>
  <c r="H169" i="10"/>
  <c r="I169" i="10"/>
  <c r="J169" i="10"/>
  <c r="K169" i="10"/>
  <c r="C170" i="10"/>
  <c r="D170" i="10"/>
  <c r="E170" i="10"/>
  <c r="F170" i="10"/>
  <c r="G170" i="10"/>
  <c r="H170" i="10"/>
  <c r="I170" i="10"/>
  <c r="J170" i="10"/>
  <c r="K170" i="10"/>
  <c r="C171" i="10"/>
  <c r="D171" i="10"/>
  <c r="E171" i="10"/>
  <c r="F171" i="10"/>
  <c r="G171" i="10"/>
  <c r="H171" i="10"/>
  <c r="I171" i="10"/>
  <c r="J171" i="10"/>
  <c r="K171" i="10"/>
  <c r="C172" i="10"/>
  <c r="D172" i="10"/>
  <c r="E172" i="10"/>
  <c r="F172" i="10"/>
  <c r="G172" i="10"/>
  <c r="H172" i="10"/>
  <c r="I172" i="10"/>
  <c r="J172" i="10"/>
  <c r="K172" i="10"/>
  <c r="C173" i="10"/>
  <c r="D173" i="10"/>
  <c r="E173" i="10"/>
  <c r="F173" i="10"/>
  <c r="G173" i="10"/>
  <c r="H173" i="10"/>
  <c r="I173" i="10"/>
  <c r="J173" i="10"/>
  <c r="K173" i="10"/>
  <c r="C174" i="10"/>
  <c r="D174" i="10"/>
  <c r="E174" i="10"/>
  <c r="F174" i="10"/>
  <c r="G174" i="10"/>
  <c r="H174" i="10"/>
  <c r="I174" i="10"/>
  <c r="J174" i="10"/>
  <c r="K174" i="10"/>
  <c r="C175" i="10"/>
  <c r="D175" i="10"/>
  <c r="E175" i="10"/>
  <c r="F175" i="10"/>
  <c r="G175" i="10"/>
  <c r="H175" i="10"/>
  <c r="I175" i="10"/>
  <c r="J175" i="10"/>
  <c r="K175" i="10"/>
  <c r="C176" i="10"/>
  <c r="D176" i="10"/>
  <c r="E176" i="10"/>
  <c r="F176" i="10"/>
  <c r="G176" i="10"/>
  <c r="H176" i="10"/>
  <c r="I176" i="10"/>
  <c r="J176" i="10"/>
  <c r="K176" i="10"/>
  <c r="C177" i="10"/>
  <c r="D177" i="10"/>
  <c r="E177" i="10"/>
  <c r="F177" i="10"/>
  <c r="G177" i="10"/>
  <c r="H177" i="10"/>
  <c r="I177" i="10"/>
  <c r="J177" i="10"/>
  <c r="K177" i="10"/>
  <c r="C178" i="10"/>
  <c r="D178" i="10"/>
  <c r="E178" i="10"/>
  <c r="F178" i="10"/>
  <c r="G178" i="10"/>
  <c r="H178" i="10"/>
  <c r="I178" i="10"/>
  <c r="J178" i="10"/>
  <c r="K178" i="10"/>
  <c r="C179" i="10"/>
  <c r="D179" i="10"/>
  <c r="E179" i="10"/>
  <c r="F179" i="10"/>
  <c r="G179" i="10"/>
  <c r="H179" i="10"/>
  <c r="I179" i="10"/>
  <c r="J179" i="10"/>
  <c r="K179" i="10"/>
  <c r="C180" i="10"/>
  <c r="D180" i="10"/>
  <c r="E180" i="10"/>
  <c r="F180" i="10"/>
  <c r="G180" i="10"/>
  <c r="H180" i="10"/>
  <c r="I180" i="10"/>
  <c r="J180" i="10"/>
  <c r="K180" i="10"/>
  <c r="C181" i="10"/>
  <c r="D181" i="10"/>
  <c r="E181" i="10"/>
  <c r="F181" i="10"/>
  <c r="G181" i="10"/>
  <c r="H181" i="10"/>
  <c r="I181" i="10"/>
  <c r="J181" i="10"/>
  <c r="K181" i="10"/>
  <c r="C182" i="10"/>
  <c r="D182" i="10"/>
  <c r="E182" i="10"/>
  <c r="F182" i="10"/>
  <c r="G182" i="10"/>
  <c r="H182" i="10"/>
  <c r="I182" i="10"/>
  <c r="J182" i="10"/>
  <c r="K182" i="10"/>
  <c r="C183" i="10"/>
  <c r="D183" i="10"/>
  <c r="E183" i="10"/>
  <c r="F183" i="10"/>
  <c r="G183" i="10"/>
  <c r="H183" i="10"/>
  <c r="I183" i="10"/>
  <c r="J183" i="10"/>
  <c r="K183" i="10"/>
  <c r="C134" i="15"/>
  <c r="D134" i="15"/>
  <c r="E134" i="15"/>
  <c r="F134" i="15"/>
  <c r="G134" i="15"/>
  <c r="H134" i="15"/>
  <c r="I134" i="15"/>
  <c r="C135" i="15"/>
  <c r="D135" i="15"/>
  <c r="E135" i="15"/>
  <c r="F135" i="15"/>
  <c r="G135" i="15"/>
  <c r="H135" i="15"/>
  <c r="I135" i="15"/>
  <c r="C136" i="15"/>
  <c r="D136" i="15"/>
  <c r="E136" i="15"/>
  <c r="F136" i="15"/>
  <c r="G136" i="15"/>
  <c r="H136" i="15"/>
  <c r="I136" i="15"/>
  <c r="C137" i="15"/>
  <c r="D137" i="15"/>
  <c r="E137" i="15"/>
  <c r="F137" i="15"/>
  <c r="G137" i="15"/>
  <c r="H137" i="15"/>
  <c r="I137" i="15"/>
  <c r="C138" i="15"/>
  <c r="D138" i="15"/>
  <c r="E138" i="15"/>
  <c r="F138" i="15"/>
  <c r="G138" i="15"/>
  <c r="H138" i="15"/>
  <c r="I138" i="15"/>
  <c r="C139" i="15"/>
  <c r="D139" i="15"/>
  <c r="E139" i="15"/>
  <c r="F139" i="15"/>
  <c r="G139" i="15"/>
  <c r="H139" i="15"/>
  <c r="I139" i="15"/>
  <c r="C140" i="15"/>
  <c r="D140" i="15"/>
  <c r="E140" i="15"/>
  <c r="F140" i="15"/>
  <c r="G140" i="15"/>
  <c r="H140" i="15"/>
  <c r="I140" i="15"/>
  <c r="C141" i="15"/>
  <c r="D141" i="15"/>
  <c r="E141" i="15"/>
  <c r="F141" i="15"/>
  <c r="G141" i="15"/>
  <c r="H141" i="15"/>
  <c r="I141" i="15"/>
  <c r="C142" i="15"/>
  <c r="D142" i="15"/>
  <c r="E142" i="15"/>
  <c r="F142" i="15"/>
  <c r="G142" i="15"/>
  <c r="H142" i="15"/>
  <c r="I142" i="15"/>
  <c r="C143" i="15"/>
  <c r="D143" i="15"/>
  <c r="E143" i="15"/>
  <c r="F143" i="15"/>
  <c r="G143" i="15"/>
  <c r="H143" i="15"/>
  <c r="I143" i="15"/>
  <c r="C144" i="15"/>
  <c r="D144" i="15"/>
  <c r="E144" i="15"/>
  <c r="F144" i="15"/>
  <c r="G144" i="15"/>
  <c r="H144" i="15"/>
  <c r="I144" i="15"/>
  <c r="C145" i="15"/>
  <c r="D145" i="15"/>
  <c r="E145" i="15"/>
  <c r="F145" i="15"/>
  <c r="G145" i="15"/>
  <c r="H145" i="15"/>
  <c r="I145" i="15"/>
  <c r="C146" i="15"/>
  <c r="D146" i="15"/>
  <c r="E146" i="15"/>
  <c r="F146" i="15"/>
  <c r="G146" i="15"/>
  <c r="H146" i="15"/>
  <c r="I146" i="15"/>
  <c r="C147" i="15"/>
  <c r="D147" i="15"/>
  <c r="E147" i="15"/>
  <c r="F147" i="15"/>
  <c r="G147" i="15"/>
  <c r="H147" i="15"/>
  <c r="I147" i="15"/>
  <c r="C148" i="15"/>
  <c r="D148" i="15"/>
  <c r="E148" i="15"/>
  <c r="F148" i="15"/>
  <c r="G148" i="15"/>
  <c r="H148" i="15"/>
  <c r="I148" i="15"/>
  <c r="C149" i="15"/>
  <c r="D149" i="15"/>
  <c r="E149" i="15"/>
  <c r="F149" i="15"/>
  <c r="G149" i="15"/>
  <c r="H149" i="15"/>
  <c r="I149" i="15"/>
  <c r="C150" i="15"/>
  <c r="D150" i="15"/>
  <c r="E150" i="15"/>
  <c r="F150" i="15"/>
  <c r="G150" i="15"/>
  <c r="H150" i="15"/>
  <c r="I150" i="15"/>
  <c r="C151" i="15"/>
  <c r="D151" i="15"/>
  <c r="E151" i="15"/>
  <c r="F151" i="15"/>
  <c r="G151" i="15"/>
  <c r="H151" i="15"/>
  <c r="I151" i="15"/>
  <c r="C152" i="15"/>
  <c r="D152" i="15"/>
  <c r="E152" i="15"/>
  <c r="F152" i="15"/>
  <c r="G152" i="15"/>
  <c r="H152" i="15"/>
  <c r="I152" i="15"/>
  <c r="C153" i="15"/>
  <c r="D153" i="15"/>
  <c r="E153" i="15"/>
  <c r="F153" i="15"/>
  <c r="G153" i="15"/>
  <c r="H153" i="15"/>
  <c r="I153" i="15"/>
  <c r="C154" i="15"/>
  <c r="D154" i="15"/>
  <c r="E154" i="15"/>
  <c r="F154" i="15"/>
  <c r="G154" i="15"/>
  <c r="H154" i="15"/>
  <c r="I154" i="15"/>
  <c r="C155" i="15"/>
  <c r="D155" i="15"/>
  <c r="E155" i="15"/>
  <c r="F155" i="15"/>
  <c r="G155" i="15"/>
  <c r="H155" i="15"/>
  <c r="I155" i="15"/>
  <c r="C156" i="15"/>
  <c r="D156" i="15"/>
  <c r="E156" i="15"/>
  <c r="F156" i="15"/>
  <c r="G156" i="15"/>
  <c r="H156" i="15"/>
  <c r="I156" i="15"/>
  <c r="C157" i="15"/>
  <c r="D157" i="15"/>
  <c r="E157" i="15"/>
  <c r="F157" i="15"/>
  <c r="G157" i="15"/>
  <c r="H157" i="15"/>
  <c r="I157" i="15"/>
  <c r="C158" i="15"/>
  <c r="D158" i="15"/>
  <c r="E158" i="15"/>
  <c r="F158" i="15"/>
  <c r="G158" i="15"/>
  <c r="H158" i="15"/>
  <c r="I158" i="15"/>
  <c r="C159" i="15"/>
  <c r="D159" i="15"/>
  <c r="E159" i="15"/>
  <c r="F159" i="15"/>
  <c r="G159" i="15"/>
  <c r="H159" i="15"/>
  <c r="I159" i="15"/>
  <c r="C160" i="15"/>
  <c r="D160" i="15"/>
  <c r="E160" i="15"/>
  <c r="F160" i="15"/>
  <c r="G160" i="15"/>
  <c r="H160" i="15"/>
  <c r="I160" i="15"/>
  <c r="C161" i="15"/>
  <c r="D161" i="15"/>
  <c r="E161" i="15"/>
  <c r="F161" i="15"/>
  <c r="G161" i="15"/>
  <c r="H161" i="15"/>
  <c r="I161" i="15"/>
  <c r="C162" i="15"/>
  <c r="D162" i="15"/>
  <c r="E162" i="15"/>
  <c r="F162" i="15"/>
  <c r="G162" i="15"/>
  <c r="H162" i="15"/>
  <c r="I162" i="15"/>
  <c r="C163" i="15"/>
  <c r="D163" i="15"/>
  <c r="E163" i="15"/>
  <c r="F163" i="15"/>
  <c r="G163" i="15"/>
  <c r="H163" i="15"/>
  <c r="I163" i="15"/>
  <c r="C164" i="15"/>
  <c r="D164" i="15"/>
  <c r="E164" i="15"/>
  <c r="F164" i="15"/>
  <c r="G164" i="15"/>
  <c r="H164" i="15"/>
  <c r="I164" i="15"/>
  <c r="C165" i="15"/>
  <c r="D165" i="15"/>
  <c r="E165" i="15"/>
  <c r="F165" i="15"/>
  <c r="G165" i="15"/>
  <c r="H165" i="15"/>
  <c r="I165" i="15"/>
  <c r="C166" i="15"/>
  <c r="D166" i="15"/>
  <c r="E166" i="15"/>
  <c r="F166" i="15"/>
  <c r="G166" i="15"/>
  <c r="H166" i="15"/>
  <c r="I166" i="15"/>
  <c r="C167" i="15"/>
  <c r="D167" i="15"/>
  <c r="E167" i="15"/>
  <c r="F167" i="15"/>
  <c r="G167" i="15"/>
  <c r="H167" i="15"/>
  <c r="I167" i="15"/>
  <c r="C168" i="15"/>
  <c r="D168" i="15"/>
  <c r="E168" i="15"/>
  <c r="F168" i="15"/>
  <c r="G168" i="15"/>
  <c r="H168" i="15"/>
  <c r="I168" i="15"/>
  <c r="C169" i="15"/>
  <c r="D169" i="15"/>
  <c r="E169" i="15"/>
  <c r="F169" i="15"/>
  <c r="G169" i="15"/>
  <c r="H169" i="15"/>
  <c r="I169" i="15"/>
  <c r="C170" i="15"/>
  <c r="D170" i="15"/>
  <c r="E170" i="15"/>
  <c r="F170" i="15"/>
  <c r="G170" i="15"/>
  <c r="H170" i="15"/>
  <c r="I170" i="15"/>
  <c r="C171" i="15"/>
  <c r="D171" i="15"/>
  <c r="E171" i="15"/>
  <c r="F171" i="15"/>
  <c r="G171" i="15"/>
  <c r="H171" i="15"/>
  <c r="I171" i="15"/>
  <c r="C172" i="15"/>
  <c r="D172" i="15"/>
  <c r="E172" i="15"/>
  <c r="F172" i="15"/>
  <c r="G172" i="15"/>
  <c r="H172" i="15"/>
  <c r="I172" i="15"/>
  <c r="C173" i="15"/>
  <c r="D173" i="15"/>
  <c r="E173" i="15"/>
  <c r="F173" i="15"/>
  <c r="G173" i="15"/>
  <c r="H173" i="15"/>
  <c r="I173" i="15"/>
  <c r="C174" i="15"/>
  <c r="D174" i="15"/>
  <c r="E174" i="15"/>
  <c r="F174" i="15"/>
  <c r="G174" i="15"/>
  <c r="H174" i="15"/>
  <c r="I174" i="15"/>
  <c r="C175" i="15"/>
  <c r="D175" i="15"/>
  <c r="E175" i="15"/>
  <c r="F175" i="15"/>
  <c r="G175" i="15"/>
  <c r="H175" i="15"/>
  <c r="I175" i="15"/>
  <c r="C176" i="15"/>
  <c r="D176" i="15"/>
  <c r="E176" i="15"/>
  <c r="F176" i="15"/>
  <c r="G176" i="15"/>
  <c r="H176" i="15"/>
  <c r="I176" i="15"/>
  <c r="C177" i="15"/>
  <c r="D177" i="15"/>
  <c r="E177" i="15"/>
  <c r="F177" i="15"/>
  <c r="G177" i="15"/>
  <c r="H177" i="15"/>
  <c r="I177" i="15"/>
  <c r="C178" i="15"/>
  <c r="D178" i="15"/>
  <c r="E178" i="15"/>
  <c r="F178" i="15"/>
  <c r="G178" i="15"/>
  <c r="H178" i="15"/>
  <c r="I178" i="15"/>
  <c r="C179" i="15"/>
  <c r="D179" i="15"/>
  <c r="E179" i="15"/>
  <c r="F179" i="15"/>
  <c r="G179" i="15"/>
  <c r="H179" i="15"/>
  <c r="I179" i="15"/>
  <c r="C180" i="15"/>
  <c r="D180" i="15"/>
  <c r="E180" i="15"/>
  <c r="F180" i="15"/>
  <c r="G180" i="15"/>
  <c r="H180" i="15"/>
  <c r="I180" i="15"/>
  <c r="C181" i="15"/>
  <c r="D181" i="15"/>
  <c r="E181" i="15"/>
  <c r="F181" i="15"/>
  <c r="G181" i="15"/>
  <c r="H181" i="15"/>
  <c r="I181" i="15"/>
  <c r="C182" i="15"/>
  <c r="D182" i="15"/>
  <c r="E182" i="15"/>
  <c r="F182" i="15"/>
  <c r="G182" i="15"/>
  <c r="H182" i="15"/>
  <c r="I182" i="15"/>
  <c r="C183" i="15"/>
  <c r="D183" i="15"/>
  <c r="E183" i="15"/>
  <c r="F183" i="15"/>
  <c r="G183" i="15"/>
  <c r="H183" i="15"/>
  <c r="I183" i="15"/>
  <c r="C184" i="15"/>
  <c r="D184" i="15"/>
  <c r="E184" i="15"/>
  <c r="F184" i="15"/>
  <c r="G184" i="15"/>
  <c r="H184" i="15"/>
  <c r="I184" i="15"/>
  <c r="C185" i="15"/>
  <c r="D185" i="15"/>
  <c r="E185" i="15"/>
  <c r="F185" i="15"/>
  <c r="G185" i="15"/>
  <c r="H185" i="15"/>
  <c r="I185" i="15"/>
  <c r="C186" i="15"/>
  <c r="D186" i="15"/>
  <c r="E186" i="15"/>
  <c r="F186" i="15"/>
  <c r="G186" i="15"/>
  <c r="H186" i="15"/>
  <c r="I186" i="15"/>
  <c r="C187" i="15"/>
  <c r="D187" i="15"/>
  <c r="E187" i="15"/>
  <c r="F187" i="15"/>
  <c r="G187" i="15"/>
  <c r="H187" i="15"/>
  <c r="I187" i="15"/>
  <c r="C188" i="15"/>
  <c r="D188" i="15"/>
  <c r="E188" i="15"/>
  <c r="F188" i="15"/>
  <c r="G188" i="15"/>
  <c r="H188" i="15"/>
  <c r="I188" i="15"/>
  <c r="C189" i="15"/>
  <c r="D189" i="15"/>
  <c r="E189" i="15"/>
  <c r="F189" i="15"/>
  <c r="G189" i="15"/>
  <c r="H189" i="15"/>
  <c r="I189" i="15"/>
  <c r="C190" i="15"/>
  <c r="D190" i="15"/>
  <c r="E190" i="15"/>
  <c r="F190" i="15"/>
  <c r="G190" i="15"/>
  <c r="H190" i="15"/>
  <c r="I190" i="15"/>
  <c r="C191" i="15"/>
  <c r="D191" i="15"/>
  <c r="E191" i="15"/>
  <c r="F191" i="15"/>
  <c r="G191" i="15"/>
  <c r="H191" i="15"/>
  <c r="I191" i="15"/>
  <c r="C192" i="15"/>
  <c r="D192" i="15"/>
  <c r="E192" i="15"/>
  <c r="F192" i="15"/>
  <c r="G192" i="15"/>
  <c r="H192" i="15"/>
  <c r="I192" i="15"/>
  <c r="C193" i="15"/>
  <c r="D193" i="15"/>
  <c r="E193" i="15"/>
  <c r="F193" i="15"/>
  <c r="G193" i="15"/>
  <c r="H193" i="15"/>
  <c r="I193" i="15"/>
  <c r="C194" i="15"/>
  <c r="D194" i="15"/>
  <c r="E194" i="15"/>
  <c r="F194" i="15"/>
  <c r="G194" i="15"/>
  <c r="H194" i="15"/>
  <c r="I194" i="15"/>
  <c r="C195" i="15"/>
  <c r="D195" i="15"/>
  <c r="E195" i="15"/>
  <c r="F195" i="15"/>
  <c r="G195" i="15"/>
  <c r="H195" i="15"/>
  <c r="I195" i="15"/>
  <c r="C196" i="15"/>
  <c r="D196" i="15"/>
  <c r="E196" i="15"/>
  <c r="F196" i="15"/>
  <c r="G196" i="15"/>
  <c r="H196" i="15"/>
  <c r="I196" i="15"/>
  <c r="C197" i="15"/>
  <c r="D197" i="15"/>
  <c r="E197" i="15"/>
  <c r="F197" i="15"/>
  <c r="G197" i="15"/>
  <c r="H197" i="15"/>
  <c r="I197" i="15"/>
  <c r="C198" i="15"/>
  <c r="D198" i="15"/>
  <c r="E198" i="15"/>
  <c r="F198" i="15"/>
  <c r="G198" i="15"/>
  <c r="H198" i="15"/>
  <c r="I198" i="15"/>
  <c r="C199" i="15"/>
  <c r="D199" i="15"/>
  <c r="E199" i="15"/>
  <c r="F199" i="15"/>
  <c r="G199" i="15"/>
  <c r="H199" i="15"/>
  <c r="I199" i="15"/>
  <c r="C200" i="15"/>
  <c r="D200" i="15"/>
  <c r="E200" i="15"/>
  <c r="F200" i="15"/>
  <c r="G200" i="15"/>
  <c r="H200" i="15"/>
  <c r="I200" i="15"/>
  <c r="C201" i="15"/>
  <c r="D201" i="15"/>
  <c r="E201" i="15"/>
  <c r="F201" i="15"/>
  <c r="G201" i="15"/>
  <c r="H201" i="15"/>
  <c r="I201" i="15"/>
  <c r="C202" i="15"/>
  <c r="D202" i="15"/>
  <c r="E202" i="15"/>
  <c r="F202" i="15"/>
  <c r="G202" i="15"/>
  <c r="H202" i="15"/>
  <c r="I202" i="15"/>
  <c r="C203" i="15"/>
  <c r="D203" i="15"/>
  <c r="E203" i="15"/>
  <c r="F203" i="15"/>
  <c r="G203" i="15"/>
  <c r="H203" i="15"/>
  <c r="I203" i="15"/>
  <c r="C196" i="6"/>
  <c r="D196" i="6"/>
  <c r="E196" i="6"/>
  <c r="F196" i="6"/>
  <c r="G196" i="6"/>
  <c r="H196" i="6"/>
  <c r="I196" i="6"/>
  <c r="C197" i="6"/>
  <c r="D197" i="6"/>
  <c r="E197" i="6"/>
  <c r="F197" i="6"/>
  <c r="G197" i="6"/>
  <c r="H197" i="6"/>
  <c r="I197" i="6"/>
  <c r="C198" i="6"/>
  <c r="D198" i="6"/>
  <c r="E198" i="6"/>
  <c r="F198" i="6"/>
  <c r="G198" i="6"/>
  <c r="H198" i="6"/>
  <c r="I198" i="6"/>
  <c r="C199" i="6"/>
  <c r="D199" i="6"/>
  <c r="E199" i="6"/>
  <c r="F199" i="6"/>
  <c r="G199" i="6"/>
  <c r="H199" i="6"/>
  <c r="I199" i="6"/>
  <c r="C200" i="6"/>
  <c r="D200" i="6"/>
  <c r="E200" i="6"/>
  <c r="F200" i="6"/>
  <c r="G200" i="6"/>
  <c r="H200" i="6"/>
  <c r="I200" i="6"/>
  <c r="C201" i="6"/>
  <c r="D201" i="6"/>
  <c r="E201" i="6"/>
  <c r="F201" i="6"/>
  <c r="G201" i="6"/>
  <c r="H201" i="6"/>
  <c r="I201" i="6"/>
  <c r="C202" i="6"/>
  <c r="D202" i="6"/>
  <c r="E202" i="6"/>
  <c r="F202" i="6"/>
  <c r="G202" i="6"/>
  <c r="H202" i="6"/>
  <c r="I202" i="6"/>
  <c r="C203" i="6"/>
  <c r="D203" i="6"/>
  <c r="E203" i="6"/>
  <c r="F203" i="6"/>
  <c r="G203" i="6"/>
  <c r="H203" i="6"/>
  <c r="I203" i="6"/>
  <c r="C180" i="6"/>
  <c r="D180" i="6"/>
  <c r="E180" i="6"/>
  <c r="F180" i="6"/>
  <c r="G180" i="6"/>
  <c r="H180" i="6"/>
  <c r="I180" i="6"/>
  <c r="C181" i="6"/>
  <c r="D181" i="6"/>
  <c r="E181" i="6"/>
  <c r="F181" i="6"/>
  <c r="G181" i="6"/>
  <c r="H181" i="6"/>
  <c r="I181" i="6"/>
  <c r="C182" i="6"/>
  <c r="D182" i="6"/>
  <c r="E182" i="6"/>
  <c r="F182" i="6"/>
  <c r="G182" i="6"/>
  <c r="H182" i="6"/>
  <c r="I182" i="6"/>
  <c r="C183" i="6"/>
  <c r="D183" i="6"/>
  <c r="E183" i="6"/>
  <c r="F183" i="6"/>
  <c r="G183" i="6"/>
  <c r="H183" i="6"/>
  <c r="I183" i="6"/>
  <c r="C184" i="6"/>
  <c r="D184" i="6"/>
  <c r="E184" i="6"/>
  <c r="F184" i="6"/>
  <c r="G184" i="6"/>
  <c r="H184" i="6"/>
  <c r="I184" i="6"/>
  <c r="C185" i="6"/>
  <c r="D185" i="6"/>
  <c r="E185" i="6"/>
  <c r="F185" i="6"/>
  <c r="G185" i="6"/>
  <c r="H185" i="6"/>
  <c r="I185" i="6"/>
  <c r="C186" i="6"/>
  <c r="D186" i="6"/>
  <c r="E186" i="6"/>
  <c r="F186" i="6"/>
  <c r="G186" i="6"/>
  <c r="H186" i="6"/>
  <c r="I186" i="6"/>
  <c r="C187" i="6"/>
  <c r="D187" i="6"/>
  <c r="E187" i="6"/>
  <c r="F187" i="6"/>
  <c r="G187" i="6"/>
  <c r="H187" i="6"/>
  <c r="I187" i="6"/>
  <c r="C188" i="6"/>
  <c r="D188" i="6"/>
  <c r="E188" i="6"/>
  <c r="F188" i="6"/>
  <c r="G188" i="6"/>
  <c r="H188" i="6"/>
  <c r="I188" i="6"/>
  <c r="C189" i="6"/>
  <c r="D189" i="6"/>
  <c r="E189" i="6"/>
  <c r="F189" i="6"/>
  <c r="G189" i="6"/>
  <c r="H189" i="6"/>
  <c r="I189" i="6"/>
  <c r="C190" i="6"/>
  <c r="D190" i="6"/>
  <c r="E190" i="6"/>
  <c r="F190" i="6"/>
  <c r="G190" i="6"/>
  <c r="H190" i="6"/>
  <c r="I190" i="6"/>
  <c r="C191" i="6"/>
  <c r="D191" i="6"/>
  <c r="E191" i="6"/>
  <c r="F191" i="6"/>
  <c r="G191" i="6"/>
  <c r="H191" i="6"/>
  <c r="I191" i="6"/>
  <c r="C192" i="6"/>
  <c r="D192" i="6"/>
  <c r="E192" i="6"/>
  <c r="F192" i="6"/>
  <c r="G192" i="6"/>
  <c r="H192" i="6"/>
  <c r="I192" i="6"/>
  <c r="C193" i="6"/>
  <c r="D193" i="6"/>
  <c r="E193" i="6"/>
  <c r="F193" i="6"/>
  <c r="G193" i="6"/>
  <c r="H193" i="6"/>
  <c r="I193" i="6"/>
  <c r="C194" i="6"/>
  <c r="D194" i="6"/>
  <c r="E194" i="6"/>
  <c r="F194" i="6"/>
  <c r="G194" i="6"/>
  <c r="H194" i="6"/>
  <c r="I194" i="6"/>
  <c r="C195" i="6"/>
  <c r="D195" i="6"/>
  <c r="E195" i="6"/>
  <c r="F195" i="6"/>
  <c r="G195" i="6"/>
  <c r="H195" i="6"/>
  <c r="I195" i="6"/>
  <c r="C154" i="6"/>
  <c r="D154" i="6"/>
  <c r="E154" i="6"/>
  <c r="F154" i="6"/>
  <c r="G154" i="6"/>
  <c r="H154" i="6"/>
  <c r="I154" i="6"/>
  <c r="C155" i="6"/>
  <c r="D155" i="6"/>
  <c r="E155" i="6"/>
  <c r="F155" i="6"/>
  <c r="G155" i="6"/>
  <c r="H155" i="6"/>
  <c r="I155" i="6"/>
  <c r="C156" i="6"/>
  <c r="D156" i="6"/>
  <c r="E156" i="6"/>
  <c r="F156" i="6"/>
  <c r="G156" i="6"/>
  <c r="H156" i="6"/>
  <c r="I156" i="6"/>
  <c r="C157" i="6"/>
  <c r="D157" i="6"/>
  <c r="E157" i="6"/>
  <c r="F157" i="6"/>
  <c r="G157" i="6"/>
  <c r="H157" i="6"/>
  <c r="I157" i="6"/>
  <c r="C158" i="6"/>
  <c r="D158" i="6"/>
  <c r="E158" i="6"/>
  <c r="F158" i="6"/>
  <c r="G158" i="6"/>
  <c r="H158" i="6"/>
  <c r="I158" i="6"/>
  <c r="C159" i="6"/>
  <c r="D159" i="6"/>
  <c r="E159" i="6"/>
  <c r="F159" i="6"/>
  <c r="G159" i="6"/>
  <c r="H159" i="6"/>
  <c r="I159" i="6"/>
  <c r="C160" i="6"/>
  <c r="D160" i="6"/>
  <c r="E160" i="6"/>
  <c r="F160" i="6"/>
  <c r="G160" i="6"/>
  <c r="H160" i="6"/>
  <c r="I160" i="6"/>
  <c r="C161" i="6"/>
  <c r="D161" i="6"/>
  <c r="E161" i="6"/>
  <c r="F161" i="6"/>
  <c r="G161" i="6"/>
  <c r="H161" i="6"/>
  <c r="I161" i="6"/>
  <c r="C162" i="6"/>
  <c r="D162" i="6"/>
  <c r="E162" i="6"/>
  <c r="F162" i="6"/>
  <c r="G162" i="6"/>
  <c r="H162" i="6"/>
  <c r="I162" i="6"/>
  <c r="C163" i="6"/>
  <c r="D163" i="6"/>
  <c r="E163" i="6"/>
  <c r="F163" i="6"/>
  <c r="G163" i="6"/>
  <c r="H163" i="6"/>
  <c r="I163" i="6"/>
  <c r="C164" i="6"/>
  <c r="D164" i="6"/>
  <c r="E164" i="6"/>
  <c r="F164" i="6"/>
  <c r="G164" i="6"/>
  <c r="H164" i="6"/>
  <c r="I164" i="6"/>
  <c r="C165" i="6"/>
  <c r="D165" i="6"/>
  <c r="E165" i="6"/>
  <c r="F165" i="6"/>
  <c r="G165" i="6"/>
  <c r="H165" i="6"/>
  <c r="I165" i="6"/>
  <c r="C166" i="6"/>
  <c r="D166" i="6"/>
  <c r="E166" i="6"/>
  <c r="F166" i="6"/>
  <c r="G166" i="6"/>
  <c r="H166" i="6"/>
  <c r="I166" i="6"/>
  <c r="C167" i="6"/>
  <c r="D167" i="6"/>
  <c r="E167" i="6"/>
  <c r="F167" i="6"/>
  <c r="G167" i="6"/>
  <c r="H167" i="6"/>
  <c r="I167" i="6"/>
  <c r="C168" i="6"/>
  <c r="D168" i="6"/>
  <c r="E168" i="6"/>
  <c r="F168" i="6"/>
  <c r="G168" i="6"/>
  <c r="H168" i="6"/>
  <c r="I168" i="6"/>
  <c r="C169" i="6"/>
  <c r="D169" i="6"/>
  <c r="E169" i="6"/>
  <c r="F169" i="6"/>
  <c r="G169" i="6"/>
  <c r="H169" i="6"/>
  <c r="I169" i="6"/>
  <c r="C170" i="6"/>
  <c r="D170" i="6"/>
  <c r="E170" i="6"/>
  <c r="F170" i="6"/>
  <c r="G170" i="6"/>
  <c r="H170" i="6"/>
  <c r="I170" i="6"/>
  <c r="C171" i="6"/>
  <c r="D171" i="6"/>
  <c r="E171" i="6"/>
  <c r="F171" i="6"/>
  <c r="G171" i="6"/>
  <c r="H171" i="6"/>
  <c r="I171" i="6"/>
  <c r="C172" i="6"/>
  <c r="D172" i="6"/>
  <c r="E172" i="6"/>
  <c r="F172" i="6"/>
  <c r="G172" i="6"/>
  <c r="H172" i="6"/>
  <c r="I172" i="6"/>
  <c r="C173" i="6"/>
  <c r="D173" i="6"/>
  <c r="E173" i="6"/>
  <c r="F173" i="6"/>
  <c r="G173" i="6"/>
  <c r="H173" i="6"/>
  <c r="I173" i="6"/>
  <c r="C174" i="6"/>
  <c r="D174" i="6"/>
  <c r="E174" i="6"/>
  <c r="F174" i="6"/>
  <c r="G174" i="6"/>
  <c r="H174" i="6"/>
  <c r="I174" i="6"/>
  <c r="C175" i="6"/>
  <c r="D175" i="6"/>
  <c r="E175" i="6"/>
  <c r="F175" i="6"/>
  <c r="G175" i="6"/>
  <c r="H175" i="6"/>
  <c r="I175" i="6"/>
  <c r="C176" i="6"/>
  <c r="D176" i="6"/>
  <c r="E176" i="6"/>
  <c r="F176" i="6"/>
  <c r="G176" i="6"/>
  <c r="H176" i="6"/>
  <c r="I176" i="6"/>
  <c r="C177" i="6"/>
  <c r="D177" i="6"/>
  <c r="E177" i="6"/>
  <c r="F177" i="6"/>
  <c r="G177" i="6"/>
  <c r="H177" i="6"/>
  <c r="I177" i="6"/>
  <c r="C178" i="6"/>
  <c r="D178" i="6"/>
  <c r="E178" i="6"/>
  <c r="F178" i="6"/>
  <c r="G178" i="6"/>
  <c r="H178" i="6"/>
  <c r="I178" i="6"/>
  <c r="C179" i="6"/>
  <c r="D179" i="6"/>
  <c r="E179" i="6"/>
  <c r="F179" i="6"/>
  <c r="G179" i="6"/>
  <c r="H179" i="6"/>
  <c r="I179" i="6"/>
  <c r="F200" i="14"/>
  <c r="C199" i="14"/>
  <c r="F199" i="14"/>
  <c r="C200" i="14"/>
  <c r="C201" i="14"/>
  <c r="F201" i="14"/>
  <c r="C202" i="14"/>
  <c r="F202" i="14"/>
  <c r="C190" i="14"/>
  <c r="F190" i="14"/>
  <c r="C191" i="14"/>
  <c r="F191" i="14"/>
  <c r="C192" i="14"/>
  <c r="F192" i="14"/>
  <c r="C193" i="14"/>
  <c r="F193" i="14"/>
  <c r="C194" i="14"/>
  <c r="F194" i="14"/>
  <c r="C195" i="14"/>
  <c r="F195" i="14"/>
  <c r="C196" i="14"/>
  <c r="F196" i="14"/>
  <c r="C197" i="14"/>
  <c r="F197" i="14"/>
  <c r="C198" i="14"/>
  <c r="F198" i="14"/>
  <c r="C163" i="14"/>
  <c r="F163" i="14"/>
  <c r="C164" i="14"/>
  <c r="F164" i="14"/>
  <c r="C165" i="14"/>
  <c r="F165" i="14"/>
  <c r="C166" i="14"/>
  <c r="F166" i="14"/>
  <c r="C167" i="14"/>
  <c r="F167" i="14"/>
  <c r="C168" i="14"/>
  <c r="F168" i="14"/>
  <c r="C169" i="14"/>
  <c r="F169" i="14"/>
  <c r="C170" i="14"/>
  <c r="F170" i="14"/>
  <c r="C171" i="14"/>
  <c r="F171" i="14"/>
  <c r="C172" i="14"/>
  <c r="F172" i="14"/>
  <c r="C173" i="14"/>
  <c r="F173" i="14"/>
  <c r="C174" i="14"/>
  <c r="F174" i="14"/>
  <c r="C175" i="14"/>
  <c r="F175" i="14"/>
  <c r="C176" i="14"/>
  <c r="F176" i="14"/>
  <c r="C177" i="14"/>
  <c r="F177" i="14"/>
  <c r="C178" i="14"/>
  <c r="F178" i="14"/>
  <c r="C179" i="14"/>
  <c r="F179" i="14"/>
  <c r="C180" i="14"/>
  <c r="F180" i="14"/>
  <c r="C181" i="14"/>
  <c r="F181" i="14"/>
  <c r="C182" i="14"/>
  <c r="F182" i="14"/>
  <c r="C183" i="14"/>
  <c r="F183" i="14"/>
  <c r="C184" i="14"/>
  <c r="F184" i="14"/>
  <c r="C185" i="14"/>
  <c r="F185" i="14"/>
  <c r="C186" i="14"/>
  <c r="F186" i="14"/>
  <c r="C187" i="14"/>
  <c r="F187" i="14"/>
  <c r="C188" i="14"/>
  <c r="F188" i="14"/>
  <c r="C189" i="14"/>
  <c r="F189" i="14"/>
  <c r="C134" i="6"/>
  <c r="D134" i="6"/>
  <c r="E134" i="6"/>
  <c r="F134" i="6"/>
  <c r="G134" i="6"/>
  <c r="H134" i="6"/>
  <c r="I134" i="6"/>
  <c r="C135" i="6"/>
  <c r="D135" i="6"/>
  <c r="E135" i="6"/>
  <c r="F135" i="6"/>
  <c r="G135" i="6"/>
  <c r="H135" i="6"/>
  <c r="I135" i="6"/>
  <c r="C136" i="6"/>
  <c r="D136" i="6"/>
  <c r="E136" i="6"/>
  <c r="F136" i="6"/>
  <c r="G136" i="6"/>
  <c r="H136" i="6"/>
  <c r="I136" i="6"/>
  <c r="C137" i="6"/>
  <c r="D137" i="6"/>
  <c r="E137" i="6"/>
  <c r="F137" i="6"/>
  <c r="G137" i="6"/>
  <c r="H137" i="6"/>
  <c r="I137" i="6"/>
  <c r="C138" i="6"/>
  <c r="D138" i="6"/>
  <c r="E138" i="6"/>
  <c r="F138" i="6"/>
  <c r="G138" i="6"/>
  <c r="H138" i="6"/>
  <c r="I138" i="6"/>
  <c r="C139" i="6"/>
  <c r="D139" i="6"/>
  <c r="E139" i="6"/>
  <c r="F139" i="6"/>
  <c r="G139" i="6"/>
  <c r="H139" i="6"/>
  <c r="I139" i="6"/>
  <c r="C140" i="6"/>
  <c r="D140" i="6"/>
  <c r="E140" i="6"/>
  <c r="F140" i="6"/>
  <c r="G140" i="6"/>
  <c r="H140" i="6"/>
  <c r="I140" i="6"/>
  <c r="C141" i="6"/>
  <c r="D141" i="6"/>
  <c r="E141" i="6"/>
  <c r="F141" i="6"/>
  <c r="G141" i="6"/>
  <c r="H141" i="6"/>
  <c r="I141" i="6"/>
  <c r="C142" i="6"/>
  <c r="D142" i="6"/>
  <c r="E142" i="6"/>
  <c r="F142" i="6"/>
  <c r="G142" i="6"/>
  <c r="H142" i="6"/>
  <c r="I142" i="6"/>
  <c r="C143" i="6"/>
  <c r="D143" i="6"/>
  <c r="E143" i="6"/>
  <c r="F143" i="6"/>
  <c r="G143" i="6"/>
  <c r="H143" i="6"/>
  <c r="I143" i="6"/>
  <c r="C144" i="6"/>
  <c r="D144" i="6"/>
  <c r="E144" i="6"/>
  <c r="F144" i="6"/>
  <c r="G144" i="6"/>
  <c r="H144" i="6"/>
  <c r="I144" i="6"/>
  <c r="C145" i="6"/>
  <c r="D145" i="6"/>
  <c r="E145" i="6"/>
  <c r="F145" i="6"/>
  <c r="G145" i="6"/>
  <c r="H145" i="6"/>
  <c r="I145" i="6"/>
  <c r="C146" i="6"/>
  <c r="D146" i="6"/>
  <c r="E146" i="6"/>
  <c r="F146" i="6"/>
  <c r="G146" i="6"/>
  <c r="H146" i="6"/>
  <c r="I146" i="6"/>
  <c r="C147" i="6"/>
  <c r="D147" i="6"/>
  <c r="E147" i="6"/>
  <c r="F147" i="6"/>
  <c r="G147" i="6"/>
  <c r="H147" i="6"/>
  <c r="I147" i="6"/>
  <c r="C148" i="6"/>
  <c r="D148" i="6"/>
  <c r="E148" i="6"/>
  <c r="F148" i="6"/>
  <c r="G148" i="6"/>
  <c r="H148" i="6"/>
  <c r="I148" i="6"/>
  <c r="C149" i="6"/>
  <c r="D149" i="6"/>
  <c r="E149" i="6"/>
  <c r="F149" i="6"/>
  <c r="G149" i="6"/>
  <c r="H149" i="6"/>
  <c r="I149" i="6"/>
  <c r="C150" i="6"/>
  <c r="D150" i="6"/>
  <c r="E150" i="6"/>
  <c r="F150" i="6"/>
  <c r="G150" i="6"/>
  <c r="H150" i="6"/>
  <c r="I150" i="6"/>
  <c r="C151" i="6"/>
  <c r="D151" i="6"/>
  <c r="E151" i="6"/>
  <c r="F151" i="6"/>
  <c r="G151" i="6"/>
  <c r="H151" i="6"/>
  <c r="I151" i="6"/>
  <c r="C152" i="6"/>
  <c r="D152" i="6"/>
  <c r="E152" i="6"/>
  <c r="F152" i="6"/>
  <c r="G152" i="6"/>
  <c r="H152" i="6"/>
  <c r="I152" i="6"/>
  <c r="C153" i="6"/>
  <c r="D153" i="6"/>
  <c r="E153" i="6"/>
  <c r="F153" i="6"/>
  <c r="G153" i="6"/>
  <c r="H153" i="6"/>
  <c r="I153" i="6"/>
  <c r="AA8" i="14"/>
  <c r="AA4" i="14"/>
  <c r="V12" i="14"/>
  <c r="V8" i="14"/>
  <c r="V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AC11" i="14"/>
  <c r="AC10" i="14"/>
  <c r="AC9" i="14"/>
  <c r="AC8" i="14"/>
  <c r="AC7" i="14"/>
  <c r="AC6" i="14"/>
  <c r="AC5" i="14"/>
  <c r="AC4" i="14"/>
  <c r="X11" i="14"/>
  <c r="X10" i="14"/>
  <c r="X9" i="14"/>
  <c r="X8" i="14"/>
  <c r="X7" i="14"/>
  <c r="X6" i="14"/>
  <c r="X5" i="14"/>
  <c r="X4" i="14"/>
  <c r="AA12" i="14"/>
  <c r="AA3" i="14"/>
  <c r="L179" i="10" l="1"/>
  <c r="L163" i="10"/>
  <c r="L188" i="10"/>
  <c r="L197" i="10"/>
  <c r="L164" i="10"/>
  <c r="L189" i="10"/>
  <c r="L198" i="10"/>
  <c r="L178" i="10"/>
  <c r="L170" i="10"/>
  <c r="L162" i="10"/>
  <c r="L154" i="10"/>
  <c r="L187" i="10"/>
  <c r="L169" i="10"/>
  <c r="L195" i="10"/>
  <c r="L199" i="10"/>
  <c r="L160" i="10"/>
  <c r="L152" i="10"/>
  <c r="L194" i="10"/>
  <c r="L183" i="10"/>
  <c r="L175" i="10"/>
  <c r="L167" i="10"/>
  <c r="L159" i="10"/>
  <c r="L192" i="10"/>
  <c r="L184" i="10"/>
  <c r="L174" i="10"/>
  <c r="L200" i="10"/>
  <c r="L168" i="10"/>
  <c r="L153" i="10"/>
  <c r="L186" i="10"/>
  <c r="L196" i="10"/>
  <c r="L158" i="10"/>
  <c r="L193" i="10"/>
  <c r="L180" i="10"/>
  <c r="L190" i="10"/>
  <c r="L182" i="10"/>
  <c r="L177" i="10"/>
  <c r="L172" i="10"/>
  <c r="L156" i="10"/>
  <c r="L201" i="10"/>
  <c r="L181" i="10"/>
  <c r="L176" i="10"/>
  <c r="L171" i="10"/>
  <c r="L166" i="10"/>
  <c r="L161" i="10"/>
  <c r="L155" i="10"/>
  <c r="L191" i="10"/>
  <c r="L185" i="10"/>
  <c r="L173" i="10"/>
  <c r="L165" i="10"/>
  <c r="L157" i="10"/>
  <c r="AA16" i="14"/>
  <c r="V16" i="14"/>
  <c r="D5" i="10"/>
  <c r="D6" i="10"/>
  <c r="D7" i="10"/>
  <c r="D8" i="10"/>
  <c r="D9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4" i="10" l="1"/>
  <c r="D7" i="12" s="1"/>
  <c r="K151" i="10"/>
  <c r="J151" i="10"/>
  <c r="I151" i="10"/>
  <c r="H151" i="10"/>
  <c r="G151" i="10"/>
  <c r="F151" i="10"/>
  <c r="E151" i="10"/>
  <c r="C151" i="10"/>
  <c r="K150" i="10"/>
  <c r="J150" i="10"/>
  <c r="I150" i="10"/>
  <c r="H150" i="10"/>
  <c r="G150" i="10"/>
  <c r="F150" i="10"/>
  <c r="E150" i="10"/>
  <c r="C150" i="10"/>
  <c r="K149" i="10"/>
  <c r="J149" i="10"/>
  <c r="I149" i="10"/>
  <c r="H149" i="10"/>
  <c r="G149" i="10"/>
  <c r="F149" i="10"/>
  <c r="E149" i="10"/>
  <c r="C149" i="10"/>
  <c r="K148" i="10"/>
  <c r="J148" i="10"/>
  <c r="I148" i="10"/>
  <c r="H148" i="10"/>
  <c r="G148" i="10"/>
  <c r="F148" i="10"/>
  <c r="E148" i="10"/>
  <c r="C148" i="10"/>
  <c r="K147" i="10"/>
  <c r="J147" i="10"/>
  <c r="I147" i="10"/>
  <c r="H147" i="10"/>
  <c r="G147" i="10"/>
  <c r="F147" i="10"/>
  <c r="E147" i="10"/>
  <c r="C147" i="10"/>
  <c r="K146" i="10"/>
  <c r="J146" i="10"/>
  <c r="I146" i="10"/>
  <c r="H146" i="10"/>
  <c r="G146" i="10"/>
  <c r="F146" i="10"/>
  <c r="E146" i="10"/>
  <c r="C146" i="10"/>
  <c r="K145" i="10"/>
  <c r="J145" i="10"/>
  <c r="I145" i="10"/>
  <c r="H145" i="10"/>
  <c r="G145" i="10"/>
  <c r="F145" i="10"/>
  <c r="E145" i="10"/>
  <c r="C145" i="10"/>
  <c r="K144" i="10"/>
  <c r="J144" i="10"/>
  <c r="I144" i="10"/>
  <c r="H144" i="10"/>
  <c r="G144" i="10"/>
  <c r="F144" i="10"/>
  <c r="E144" i="10"/>
  <c r="C144" i="10"/>
  <c r="K143" i="10"/>
  <c r="J143" i="10"/>
  <c r="I143" i="10"/>
  <c r="H143" i="10"/>
  <c r="G143" i="10"/>
  <c r="F143" i="10"/>
  <c r="E143" i="10"/>
  <c r="C143" i="10"/>
  <c r="K142" i="10"/>
  <c r="J142" i="10"/>
  <c r="I142" i="10"/>
  <c r="H142" i="10"/>
  <c r="G142" i="10"/>
  <c r="F142" i="10"/>
  <c r="E142" i="10"/>
  <c r="C142" i="10"/>
  <c r="K141" i="10"/>
  <c r="J141" i="10"/>
  <c r="I141" i="10"/>
  <c r="H141" i="10"/>
  <c r="G141" i="10"/>
  <c r="F141" i="10"/>
  <c r="E141" i="10"/>
  <c r="C141" i="10"/>
  <c r="K140" i="10"/>
  <c r="J140" i="10"/>
  <c r="I140" i="10"/>
  <c r="H140" i="10"/>
  <c r="G140" i="10"/>
  <c r="F140" i="10"/>
  <c r="E140" i="10"/>
  <c r="C140" i="10"/>
  <c r="K139" i="10"/>
  <c r="J139" i="10"/>
  <c r="I139" i="10"/>
  <c r="H139" i="10"/>
  <c r="G139" i="10"/>
  <c r="F139" i="10"/>
  <c r="E139" i="10"/>
  <c r="C139" i="10"/>
  <c r="K138" i="10"/>
  <c r="J138" i="10"/>
  <c r="I138" i="10"/>
  <c r="H138" i="10"/>
  <c r="G138" i="10"/>
  <c r="F138" i="10"/>
  <c r="E138" i="10"/>
  <c r="C138" i="10"/>
  <c r="K137" i="10"/>
  <c r="J137" i="10"/>
  <c r="I137" i="10"/>
  <c r="H137" i="10"/>
  <c r="G137" i="10"/>
  <c r="F137" i="10"/>
  <c r="E137" i="10"/>
  <c r="C137" i="10"/>
  <c r="K136" i="10"/>
  <c r="J136" i="10"/>
  <c r="I136" i="10"/>
  <c r="H136" i="10"/>
  <c r="G136" i="10"/>
  <c r="F136" i="10"/>
  <c r="E136" i="10"/>
  <c r="C136" i="10"/>
  <c r="K135" i="10"/>
  <c r="J135" i="10"/>
  <c r="I135" i="10"/>
  <c r="H135" i="10"/>
  <c r="G135" i="10"/>
  <c r="F135" i="10"/>
  <c r="E135" i="10"/>
  <c r="C135" i="10"/>
  <c r="K134" i="10"/>
  <c r="J134" i="10"/>
  <c r="I134" i="10"/>
  <c r="H134" i="10"/>
  <c r="G134" i="10"/>
  <c r="F134" i="10"/>
  <c r="E134" i="10"/>
  <c r="C134" i="10"/>
  <c r="K133" i="10"/>
  <c r="J133" i="10"/>
  <c r="I133" i="10"/>
  <c r="H133" i="10"/>
  <c r="G133" i="10"/>
  <c r="F133" i="10"/>
  <c r="E133" i="10"/>
  <c r="C133" i="10"/>
  <c r="K132" i="10"/>
  <c r="J132" i="10"/>
  <c r="I132" i="10"/>
  <c r="H132" i="10"/>
  <c r="G132" i="10"/>
  <c r="F132" i="10"/>
  <c r="E132" i="10"/>
  <c r="C132" i="10"/>
  <c r="E6" i="10"/>
  <c r="E7" i="10"/>
  <c r="E8" i="10"/>
  <c r="E9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5" i="10"/>
  <c r="H6" i="10"/>
  <c r="H7" i="10"/>
  <c r="H8" i="10"/>
  <c r="H9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5" i="10"/>
  <c r="H4" i="10"/>
  <c r="D10" i="12" s="1"/>
  <c r="E4" i="10"/>
  <c r="G6" i="10"/>
  <c r="G7" i="10"/>
  <c r="G8" i="10"/>
  <c r="G9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5" i="10"/>
  <c r="F6" i="10"/>
  <c r="F7" i="10"/>
  <c r="F8" i="10"/>
  <c r="F9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5" i="10"/>
  <c r="C29" i="10"/>
  <c r="C34" i="10"/>
  <c r="C43" i="10"/>
  <c r="C51" i="10"/>
  <c r="C96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G4" i="10"/>
  <c r="F4" i="10"/>
  <c r="K131" i="10"/>
  <c r="J131" i="10"/>
  <c r="I131" i="10"/>
  <c r="K130" i="10"/>
  <c r="J130" i="10"/>
  <c r="I130" i="10"/>
  <c r="K129" i="10"/>
  <c r="J129" i="10"/>
  <c r="I129" i="10"/>
  <c r="K128" i="10"/>
  <c r="J128" i="10"/>
  <c r="I128" i="10"/>
  <c r="K127" i="10"/>
  <c r="J127" i="10"/>
  <c r="I127" i="10"/>
  <c r="K126" i="10"/>
  <c r="J126" i="10"/>
  <c r="I126" i="10"/>
  <c r="K125" i="10"/>
  <c r="J125" i="10"/>
  <c r="I125" i="10"/>
  <c r="K124" i="10"/>
  <c r="J124" i="10"/>
  <c r="I124" i="10"/>
  <c r="K123" i="10"/>
  <c r="J123" i="10"/>
  <c r="I123" i="10"/>
  <c r="I112" i="10"/>
  <c r="J112" i="10"/>
  <c r="K112" i="10"/>
  <c r="I113" i="10"/>
  <c r="J113" i="10"/>
  <c r="K113" i="10"/>
  <c r="I114" i="10"/>
  <c r="J114" i="10"/>
  <c r="K114" i="10"/>
  <c r="I115" i="10"/>
  <c r="J115" i="10"/>
  <c r="K115" i="10"/>
  <c r="I116" i="10"/>
  <c r="J116" i="10"/>
  <c r="K116" i="10"/>
  <c r="I117" i="10"/>
  <c r="J117" i="10"/>
  <c r="K117" i="10"/>
  <c r="I118" i="10"/>
  <c r="J118" i="10"/>
  <c r="K118" i="10"/>
  <c r="I119" i="10"/>
  <c r="J119" i="10"/>
  <c r="K119" i="10"/>
  <c r="I120" i="10"/>
  <c r="J120" i="10"/>
  <c r="K120" i="10"/>
  <c r="I121" i="10"/>
  <c r="J121" i="10"/>
  <c r="K121" i="10"/>
  <c r="I122" i="10"/>
  <c r="J122" i="10"/>
  <c r="K122" i="10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J10" i="10" s="1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C48" i="15"/>
  <c r="C59" i="15"/>
  <c r="C63" i="15"/>
  <c r="C69" i="15"/>
  <c r="C83" i="15"/>
  <c r="C86" i="15"/>
  <c r="C87" i="15"/>
  <c r="C88" i="15"/>
  <c r="C97" i="15"/>
  <c r="C100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G4" i="15"/>
  <c r="F4" i="15"/>
  <c r="E4" i="15"/>
  <c r="D4" i="15"/>
  <c r="I4" i="15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C41" i="6"/>
  <c r="C56" i="6"/>
  <c r="C77" i="6"/>
  <c r="C78" i="6"/>
  <c r="C79" i="6"/>
  <c r="C100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I4" i="6"/>
  <c r="H4" i="6"/>
  <c r="G4" i="6"/>
  <c r="F4" i="6"/>
  <c r="E4" i="6"/>
  <c r="D4" i="6"/>
  <c r="F3" i="14"/>
  <c r="C82" i="15" s="1"/>
  <c r="C153" i="14"/>
  <c r="F153" i="14"/>
  <c r="C154" i="14"/>
  <c r="F154" i="14"/>
  <c r="C155" i="14"/>
  <c r="F155" i="14"/>
  <c r="C156" i="14"/>
  <c r="F156" i="14"/>
  <c r="C157" i="14"/>
  <c r="F157" i="14"/>
  <c r="C158" i="14"/>
  <c r="F158" i="14"/>
  <c r="C159" i="14"/>
  <c r="F159" i="14"/>
  <c r="C160" i="14"/>
  <c r="F160" i="14"/>
  <c r="C161" i="14"/>
  <c r="F161" i="14"/>
  <c r="C162" i="14"/>
  <c r="F162" i="14"/>
  <c r="C133" i="14"/>
  <c r="F133" i="14"/>
  <c r="C134" i="14"/>
  <c r="F134" i="14"/>
  <c r="C135" i="14"/>
  <c r="F135" i="14"/>
  <c r="C136" i="14"/>
  <c r="F136" i="14"/>
  <c r="C137" i="14"/>
  <c r="F137" i="14"/>
  <c r="C138" i="14"/>
  <c r="F138" i="14"/>
  <c r="C139" i="14"/>
  <c r="F139" i="14"/>
  <c r="C140" i="14"/>
  <c r="F140" i="14"/>
  <c r="C141" i="14"/>
  <c r="F141" i="14"/>
  <c r="C142" i="14"/>
  <c r="F142" i="14"/>
  <c r="C143" i="14"/>
  <c r="F143" i="14"/>
  <c r="C144" i="14"/>
  <c r="F144" i="14"/>
  <c r="C145" i="14"/>
  <c r="F145" i="14"/>
  <c r="C146" i="14"/>
  <c r="F146" i="14"/>
  <c r="C147" i="14"/>
  <c r="F147" i="14"/>
  <c r="C148" i="14"/>
  <c r="F148" i="14"/>
  <c r="C149" i="14"/>
  <c r="F149" i="14"/>
  <c r="C150" i="14"/>
  <c r="F150" i="14"/>
  <c r="C151" i="14"/>
  <c r="F151" i="14"/>
  <c r="C152" i="14"/>
  <c r="F152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3" i="14"/>
  <c r="N86" i="10" l="1"/>
  <c r="N78" i="10"/>
  <c r="N70" i="10"/>
  <c r="N125" i="10"/>
  <c r="N117" i="10"/>
  <c r="N109" i="10"/>
  <c r="N101" i="10"/>
  <c r="N93" i="10"/>
  <c r="M86" i="10"/>
  <c r="N133" i="10"/>
  <c r="N136" i="10"/>
  <c r="N115" i="10"/>
  <c r="N99" i="10"/>
  <c r="N84" i="10"/>
  <c r="M84" i="10"/>
  <c r="N130" i="10"/>
  <c r="N114" i="10"/>
  <c r="N98" i="10"/>
  <c r="N75" i="10"/>
  <c r="M83" i="10"/>
  <c r="N121" i="10"/>
  <c r="N105" i="10"/>
  <c r="N66" i="10"/>
  <c r="M82" i="10"/>
  <c r="N128" i="10"/>
  <c r="N104" i="10"/>
  <c r="N89" i="10"/>
  <c r="N73" i="10"/>
  <c r="M81" i="10"/>
  <c r="N190" i="10"/>
  <c r="N175" i="10"/>
  <c r="N200" i="10"/>
  <c r="N163" i="10"/>
  <c r="N161" i="10"/>
  <c r="N181" i="10"/>
  <c r="N171" i="10"/>
  <c r="N185" i="10"/>
  <c r="N184" i="10"/>
  <c r="N195" i="10"/>
  <c r="N183" i="10"/>
  <c r="N165" i="10"/>
  <c r="N178" i="10"/>
  <c r="N193" i="10"/>
  <c r="N170" i="10"/>
  <c r="N167" i="10"/>
  <c r="N157" i="10"/>
  <c r="N182" i="10"/>
  <c r="N172" i="10"/>
  <c r="N192" i="10"/>
  <c r="N188" i="10"/>
  <c r="N156" i="10"/>
  <c r="N166" i="10"/>
  <c r="N168" i="10"/>
  <c r="N158" i="10"/>
  <c r="N196" i="10"/>
  <c r="N191" i="10"/>
  <c r="N164" i="10"/>
  <c r="N160" i="10"/>
  <c r="N179" i="10"/>
  <c r="N198" i="10"/>
  <c r="N152" i="10"/>
  <c r="N159" i="10"/>
  <c r="N201" i="10"/>
  <c r="N186" i="10"/>
  <c r="N153" i="10"/>
  <c r="N173" i="10"/>
  <c r="N155" i="10"/>
  <c r="N197" i="10"/>
  <c r="N180" i="10"/>
  <c r="N162" i="10"/>
  <c r="N154" i="10"/>
  <c r="N176" i="10"/>
  <c r="N174" i="10"/>
  <c r="N194" i="10"/>
  <c r="N199" i="10"/>
  <c r="N177" i="10"/>
  <c r="N189" i="10"/>
  <c r="N169" i="10"/>
  <c r="N187" i="10"/>
  <c r="N127" i="10"/>
  <c r="N119" i="10"/>
  <c r="N111" i="10"/>
  <c r="N103" i="10"/>
  <c r="N95" i="10"/>
  <c r="N88" i="10"/>
  <c r="N80" i="10"/>
  <c r="N72" i="10"/>
  <c r="N64" i="10"/>
  <c r="M80" i="10"/>
  <c r="M78" i="10"/>
  <c r="N132" i="10"/>
  <c r="N134" i="10"/>
  <c r="N135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24" i="10"/>
  <c r="N116" i="10"/>
  <c r="N108" i="10"/>
  <c r="N100" i="10"/>
  <c r="N92" i="10"/>
  <c r="N85" i="10"/>
  <c r="N77" i="10"/>
  <c r="N69" i="10"/>
  <c r="M85" i="10"/>
  <c r="M77" i="10"/>
  <c r="N131" i="10"/>
  <c r="N123" i="10"/>
  <c r="N107" i="10"/>
  <c r="N91" i="10"/>
  <c r="N76" i="10"/>
  <c r="N68" i="10"/>
  <c r="M76" i="10"/>
  <c r="N122" i="10"/>
  <c r="N106" i="10"/>
  <c r="N90" i="10"/>
  <c r="N83" i="10"/>
  <c r="N67" i="10"/>
  <c r="M75" i="10"/>
  <c r="N129" i="10"/>
  <c r="N113" i="10"/>
  <c r="N97" i="10"/>
  <c r="N82" i="10"/>
  <c r="N74" i="10"/>
  <c r="N120" i="10"/>
  <c r="N112" i="10"/>
  <c r="N96" i="10"/>
  <c r="N81" i="10"/>
  <c r="N65" i="10"/>
  <c r="M96" i="10"/>
  <c r="M73" i="10"/>
  <c r="N126" i="10"/>
  <c r="N118" i="10"/>
  <c r="N110" i="10"/>
  <c r="N102" i="10"/>
  <c r="N94" i="10"/>
  <c r="N87" i="10"/>
  <c r="N79" i="10"/>
  <c r="N71" i="10"/>
  <c r="M87" i="10"/>
  <c r="M79" i="10"/>
  <c r="M88" i="10"/>
  <c r="M89" i="10"/>
  <c r="C77" i="10"/>
  <c r="N62" i="10"/>
  <c r="N32" i="10"/>
  <c r="M125" i="10"/>
  <c r="C32" i="6"/>
  <c r="O125" i="10"/>
  <c r="O86" i="10"/>
  <c r="O54" i="10"/>
  <c r="N54" i="10"/>
  <c r="O22" i="10"/>
  <c r="N22" i="10"/>
  <c r="M46" i="10"/>
  <c r="O124" i="10"/>
  <c r="O77" i="10"/>
  <c r="O37" i="10"/>
  <c r="N37" i="10"/>
  <c r="M124" i="10"/>
  <c r="M37" i="10"/>
  <c r="O147" i="10"/>
  <c r="O107" i="10"/>
  <c r="O76" i="10"/>
  <c r="N36" i="10"/>
  <c r="O36" i="10"/>
  <c r="M115" i="10"/>
  <c r="M36" i="10"/>
  <c r="O130" i="10"/>
  <c r="O122" i="10"/>
  <c r="O114" i="10"/>
  <c r="O106" i="10"/>
  <c r="O98" i="10"/>
  <c r="O90" i="10"/>
  <c r="O83" i="10"/>
  <c r="O75" i="10"/>
  <c r="O67" i="10"/>
  <c r="N59" i="10"/>
  <c r="O59" i="10"/>
  <c r="O51" i="10"/>
  <c r="N51" i="10"/>
  <c r="N43" i="10"/>
  <c r="O43" i="10"/>
  <c r="N35" i="10"/>
  <c r="O35" i="10"/>
  <c r="O27" i="10"/>
  <c r="N27" i="10"/>
  <c r="O19" i="10"/>
  <c r="N19" i="10"/>
  <c r="N11" i="10"/>
  <c r="O11" i="10"/>
  <c r="M130" i="10"/>
  <c r="M122" i="10"/>
  <c r="M114" i="10"/>
  <c r="M106" i="10"/>
  <c r="M98" i="10"/>
  <c r="M90" i="10"/>
  <c r="M67" i="10"/>
  <c r="M59" i="10"/>
  <c r="M51" i="10"/>
  <c r="M43" i="10"/>
  <c r="M35" i="10"/>
  <c r="M27" i="10"/>
  <c r="M19" i="10"/>
  <c r="M1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93" i="10"/>
  <c r="M38" i="10"/>
  <c r="O108" i="10"/>
  <c r="O85" i="10"/>
  <c r="O53" i="10"/>
  <c r="N53" i="10"/>
  <c r="O21" i="10"/>
  <c r="N21" i="10"/>
  <c r="M116" i="10"/>
  <c r="M53" i="10"/>
  <c r="M29" i="10"/>
  <c r="O133" i="10"/>
  <c r="O136" i="10"/>
  <c r="O139" i="10"/>
  <c r="O142" i="10"/>
  <c r="O146" i="10"/>
  <c r="O149" i="10"/>
  <c r="O131" i="10"/>
  <c r="O115" i="10"/>
  <c r="O84" i="10"/>
  <c r="O52" i="10"/>
  <c r="N52" i="10"/>
  <c r="O44" i="10"/>
  <c r="N44" i="10"/>
  <c r="O12" i="10"/>
  <c r="N12" i="10"/>
  <c r="M131" i="10"/>
  <c r="M99" i="10"/>
  <c r="M68" i="10"/>
  <c r="M52" i="10"/>
  <c r="M20" i="10"/>
  <c r="O129" i="10"/>
  <c r="O121" i="10"/>
  <c r="O113" i="10"/>
  <c r="O105" i="10"/>
  <c r="O97" i="10"/>
  <c r="O82" i="10"/>
  <c r="O74" i="10"/>
  <c r="O66" i="10"/>
  <c r="O58" i="10"/>
  <c r="N58" i="10"/>
  <c r="O50" i="10"/>
  <c r="N50" i="10"/>
  <c r="N42" i="10"/>
  <c r="O42" i="10"/>
  <c r="O34" i="10"/>
  <c r="N34" i="10"/>
  <c r="O26" i="10"/>
  <c r="N26" i="10"/>
  <c r="N18" i="10"/>
  <c r="O18" i="10"/>
  <c r="N9" i="10"/>
  <c r="O9" i="10"/>
  <c r="M129" i="10"/>
  <c r="M121" i="10"/>
  <c r="M113" i="10"/>
  <c r="M105" i="10"/>
  <c r="M97" i="10"/>
  <c r="M74" i="10"/>
  <c r="M66" i="10"/>
  <c r="M58" i="10"/>
  <c r="M50" i="10"/>
  <c r="M42" i="10"/>
  <c r="M34" i="10"/>
  <c r="M26" i="10"/>
  <c r="M18" i="10"/>
  <c r="M9" i="10"/>
  <c r="O109" i="10"/>
  <c r="O78" i="10"/>
  <c r="O46" i="10"/>
  <c r="N46" i="10"/>
  <c r="O14" i="10"/>
  <c r="N14" i="10"/>
  <c r="V10" i="10"/>
  <c r="AA10" i="10"/>
  <c r="M174" i="10"/>
  <c r="M199" i="10"/>
  <c r="M175" i="10"/>
  <c r="M167" i="10"/>
  <c r="M181" i="10"/>
  <c r="M165" i="10"/>
  <c r="M183" i="10"/>
  <c r="M190" i="10"/>
  <c r="M166" i="10"/>
  <c r="M187" i="10"/>
  <c r="M191" i="10"/>
  <c r="M173" i="10"/>
  <c r="M196" i="10"/>
  <c r="M159" i="10"/>
  <c r="M182" i="10"/>
  <c r="M157" i="10"/>
  <c r="M197" i="10"/>
  <c r="M158" i="10"/>
  <c r="M189" i="10"/>
  <c r="M162" i="10"/>
  <c r="M195" i="10"/>
  <c r="M184" i="10"/>
  <c r="M160" i="10"/>
  <c r="M161" i="10"/>
  <c r="M179" i="10"/>
  <c r="M180" i="10"/>
  <c r="M177" i="10"/>
  <c r="M153" i="10"/>
  <c r="M176" i="10"/>
  <c r="M193" i="10"/>
  <c r="M10" i="10"/>
  <c r="M171" i="10"/>
  <c r="M163" i="10"/>
  <c r="M152" i="10"/>
  <c r="M170" i="10"/>
  <c r="M155" i="10"/>
  <c r="M164" i="10"/>
  <c r="M154" i="10"/>
  <c r="M169" i="10"/>
  <c r="M200" i="10"/>
  <c r="M168" i="10"/>
  <c r="M201" i="10"/>
  <c r="M192" i="10"/>
  <c r="M194" i="10"/>
  <c r="M198" i="10"/>
  <c r="M172" i="10"/>
  <c r="M188" i="10"/>
  <c r="M178" i="10"/>
  <c r="M186" i="10"/>
  <c r="M185" i="10"/>
  <c r="M156" i="10"/>
  <c r="M101" i="10"/>
  <c r="M54" i="10"/>
  <c r="M30" i="10"/>
  <c r="O5" i="10"/>
  <c r="N5" i="10"/>
  <c r="O100" i="10"/>
  <c r="O61" i="10"/>
  <c r="N61" i="10"/>
  <c r="M5" i="10"/>
  <c r="M92" i="10"/>
  <c r="M61" i="10"/>
  <c r="M13" i="10"/>
  <c r="O132" i="10"/>
  <c r="O137" i="10"/>
  <c r="O141" i="10"/>
  <c r="O144" i="10"/>
  <c r="O150" i="10"/>
  <c r="O123" i="10"/>
  <c r="O91" i="10"/>
  <c r="O68" i="10"/>
  <c r="N28" i="10"/>
  <c r="O28" i="10"/>
  <c r="M107" i="10"/>
  <c r="M44" i="10"/>
  <c r="M12" i="10"/>
  <c r="O128" i="10"/>
  <c r="O120" i="10"/>
  <c r="O112" i="10"/>
  <c r="O104" i="10"/>
  <c r="O96" i="10"/>
  <c r="O89" i="10"/>
  <c r="O81" i="10"/>
  <c r="O73" i="10"/>
  <c r="O65" i="10"/>
  <c r="N57" i="10"/>
  <c r="O57" i="10"/>
  <c r="N49" i="10"/>
  <c r="O49" i="10"/>
  <c r="N41" i="10"/>
  <c r="O41" i="10"/>
  <c r="N33" i="10"/>
  <c r="O33" i="10"/>
  <c r="N25" i="10"/>
  <c r="O25" i="10"/>
  <c r="N17" i="10"/>
  <c r="O17" i="10"/>
  <c r="N8" i="10"/>
  <c r="O8" i="10"/>
  <c r="M128" i="10"/>
  <c r="M120" i="10"/>
  <c r="M112" i="10"/>
  <c r="M104" i="10"/>
  <c r="M65" i="10"/>
  <c r="M57" i="10"/>
  <c r="M49" i="10"/>
  <c r="M41" i="10"/>
  <c r="M33" i="10"/>
  <c r="M25" i="10"/>
  <c r="M17" i="10"/>
  <c r="M8" i="10"/>
  <c r="O117" i="10"/>
  <c r="O93" i="10"/>
  <c r="O62" i="10"/>
  <c r="O30" i="10"/>
  <c r="N30" i="10"/>
  <c r="M117" i="10"/>
  <c r="M62" i="10"/>
  <c r="M14" i="10"/>
  <c r="O92" i="10"/>
  <c r="O45" i="10"/>
  <c r="N45" i="10"/>
  <c r="O13" i="10"/>
  <c r="N13" i="10"/>
  <c r="M108" i="10"/>
  <c r="M69" i="10"/>
  <c r="M21" i="10"/>
  <c r="O134" i="10"/>
  <c r="O138" i="10"/>
  <c r="O143" i="10"/>
  <c r="O151" i="10"/>
  <c r="O99" i="10"/>
  <c r="N60" i="10"/>
  <c r="O60" i="10"/>
  <c r="O20" i="10"/>
  <c r="N20" i="10"/>
  <c r="M123" i="10"/>
  <c r="M91" i="10"/>
  <c r="M60" i="10"/>
  <c r="M28" i="10"/>
  <c r="O175" i="10"/>
  <c r="O193" i="10"/>
  <c r="O183" i="10"/>
  <c r="O159" i="10"/>
  <c r="O184" i="10"/>
  <c r="O160" i="10"/>
  <c r="O185" i="10"/>
  <c r="O171" i="10"/>
  <c r="O199" i="10"/>
  <c r="O167" i="10"/>
  <c r="O192" i="10"/>
  <c r="O170" i="10"/>
  <c r="O195" i="10"/>
  <c r="O174" i="10"/>
  <c r="O179" i="10"/>
  <c r="O161" i="10"/>
  <c r="O152" i="10"/>
  <c r="O190" i="10"/>
  <c r="O158" i="10"/>
  <c r="O168" i="10"/>
  <c r="O165" i="10"/>
  <c r="O156" i="10"/>
  <c r="O154" i="10"/>
  <c r="O194" i="10"/>
  <c r="O172" i="10"/>
  <c r="O197" i="10"/>
  <c r="O155" i="10"/>
  <c r="O178" i="10"/>
  <c r="O166" i="10"/>
  <c r="O200" i="10"/>
  <c r="O180" i="10"/>
  <c r="O188" i="10"/>
  <c r="O176" i="10"/>
  <c r="O189" i="10"/>
  <c r="O196" i="10"/>
  <c r="O177" i="10"/>
  <c r="O201" i="10"/>
  <c r="O157" i="10"/>
  <c r="O162" i="10"/>
  <c r="O187" i="10"/>
  <c r="O10" i="10"/>
  <c r="O186" i="10"/>
  <c r="O182" i="10"/>
  <c r="O164" i="10"/>
  <c r="O191" i="10"/>
  <c r="O153" i="10"/>
  <c r="N10" i="10"/>
  <c r="O198" i="10"/>
  <c r="O181" i="10"/>
  <c r="O169" i="10"/>
  <c r="O163" i="10"/>
  <c r="O173" i="10"/>
  <c r="O127" i="10"/>
  <c r="O119" i="10"/>
  <c r="O111" i="10"/>
  <c r="O103" i="10"/>
  <c r="O95" i="10"/>
  <c r="O88" i="10"/>
  <c r="O80" i="10"/>
  <c r="O72" i="10"/>
  <c r="O64" i="10"/>
  <c r="N56" i="10"/>
  <c r="O56" i="10"/>
  <c r="N48" i="10"/>
  <c r="O48" i="10"/>
  <c r="N40" i="10"/>
  <c r="O40" i="10"/>
  <c r="O32" i="10"/>
  <c r="N24" i="10"/>
  <c r="O24" i="10"/>
  <c r="N16" i="10"/>
  <c r="O16" i="10"/>
  <c r="N7" i="10"/>
  <c r="O7" i="10"/>
  <c r="M127" i="10"/>
  <c r="M119" i="10"/>
  <c r="M111" i="10"/>
  <c r="M103" i="10"/>
  <c r="M95" i="10"/>
  <c r="M72" i="10"/>
  <c r="M64" i="10"/>
  <c r="M56" i="10"/>
  <c r="M48" i="10"/>
  <c r="M40" i="10"/>
  <c r="M32" i="10"/>
  <c r="M24" i="10"/>
  <c r="M16" i="10"/>
  <c r="M7" i="10"/>
  <c r="O101" i="10"/>
  <c r="O70" i="10"/>
  <c r="O38" i="10"/>
  <c r="N38" i="10"/>
  <c r="M109" i="10"/>
  <c r="M70" i="10"/>
  <c r="M22" i="10"/>
  <c r="O116" i="10"/>
  <c r="O69" i="10"/>
  <c r="O29" i="10"/>
  <c r="N29" i="10"/>
  <c r="M100" i="10"/>
  <c r="M45" i="10"/>
  <c r="O135" i="10"/>
  <c r="O140" i="10"/>
  <c r="O145" i="10"/>
  <c r="O148" i="10"/>
  <c r="O126" i="10"/>
  <c r="O118" i="10"/>
  <c r="O110" i="10"/>
  <c r="O102" i="10"/>
  <c r="O94" i="10"/>
  <c r="O87" i="10"/>
  <c r="O79" i="10"/>
  <c r="O71" i="10"/>
  <c r="N63" i="10"/>
  <c r="O63" i="10"/>
  <c r="N55" i="10"/>
  <c r="O55" i="10"/>
  <c r="N47" i="10"/>
  <c r="O47" i="10"/>
  <c r="N39" i="10"/>
  <c r="O39" i="10"/>
  <c r="N31" i="10"/>
  <c r="O31" i="10"/>
  <c r="N23" i="10"/>
  <c r="O23" i="10"/>
  <c r="N15" i="10"/>
  <c r="O15" i="10"/>
  <c r="O6" i="10"/>
  <c r="N6" i="10"/>
  <c r="M126" i="10"/>
  <c r="M118" i="10"/>
  <c r="M110" i="10"/>
  <c r="M102" i="10"/>
  <c r="M94" i="10"/>
  <c r="M71" i="10"/>
  <c r="M63" i="10"/>
  <c r="M55" i="10"/>
  <c r="M47" i="10"/>
  <c r="M39" i="10"/>
  <c r="M31" i="10"/>
  <c r="M23" i="10"/>
  <c r="M15" i="10"/>
  <c r="N4" i="15"/>
  <c r="T3" i="10"/>
  <c r="N3" i="15"/>
  <c r="U6" i="6"/>
  <c r="P10" i="6"/>
  <c r="N8" i="6"/>
  <c r="S12" i="6"/>
  <c r="P7" i="6"/>
  <c r="U10" i="6"/>
  <c r="S4" i="6"/>
  <c r="U8" i="6"/>
  <c r="S3" i="6"/>
  <c r="N12" i="6"/>
  <c r="U5" i="6"/>
  <c r="P9" i="6"/>
  <c r="N4" i="6"/>
  <c r="U11" i="6"/>
  <c r="P6" i="6"/>
  <c r="P5" i="6"/>
  <c r="P4" i="6"/>
  <c r="P11" i="6"/>
  <c r="U4" i="6"/>
  <c r="P8" i="6"/>
  <c r="N3" i="6"/>
  <c r="S8" i="6"/>
  <c r="U9" i="6"/>
  <c r="U7" i="6"/>
  <c r="Y4" i="10"/>
  <c r="U11" i="15"/>
  <c r="U4" i="15"/>
  <c r="U7" i="15"/>
  <c r="U5" i="15"/>
  <c r="U10" i="15"/>
  <c r="U9" i="15"/>
  <c r="U8" i="15"/>
  <c r="U6" i="15"/>
  <c r="S8" i="15"/>
  <c r="S4" i="15"/>
  <c r="S3" i="15"/>
  <c r="P11" i="15"/>
  <c r="P10" i="15"/>
  <c r="P5" i="15"/>
  <c r="P4" i="15"/>
  <c r="P8" i="15"/>
  <c r="N12" i="15"/>
  <c r="N8" i="15"/>
  <c r="P7" i="15"/>
  <c r="P9" i="15"/>
  <c r="P6" i="15"/>
  <c r="AA6" i="10"/>
  <c r="V6" i="10"/>
  <c r="Y3" i="10"/>
  <c r="AA5" i="10"/>
  <c r="V5" i="10"/>
  <c r="T4" i="10"/>
  <c r="AA9" i="10"/>
  <c r="AA8" i="10"/>
  <c r="V7" i="10"/>
  <c r="AA4" i="10"/>
  <c r="V4" i="10"/>
  <c r="T7" i="10"/>
  <c r="V9" i="10"/>
  <c r="V8" i="10"/>
  <c r="AA7" i="10"/>
  <c r="Y11" i="10"/>
  <c r="Y7" i="10"/>
  <c r="T11" i="10"/>
  <c r="M4" i="10"/>
  <c r="O4" i="10"/>
  <c r="D8" i="12"/>
  <c r="D9" i="12"/>
  <c r="N4" i="10"/>
  <c r="L117" i="10"/>
  <c r="L137" i="10"/>
  <c r="L145" i="10"/>
  <c r="L138" i="10"/>
  <c r="L139" i="10"/>
  <c r="L140" i="10"/>
  <c r="L141" i="10"/>
  <c r="L143" i="10"/>
  <c r="L144" i="10"/>
  <c r="L132" i="10"/>
  <c r="L133" i="10"/>
  <c r="L134" i="10"/>
  <c r="L135" i="10"/>
  <c r="L136" i="10"/>
  <c r="L146" i="10"/>
  <c r="L147" i="10"/>
  <c r="L148" i="10"/>
  <c r="L149" i="10"/>
  <c r="L151" i="10"/>
  <c r="L142" i="10"/>
  <c r="L150" i="10"/>
  <c r="L113" i="10"/>
  <c r="L115" i="10"/>
  <c r="L129" i="10"/>
  <c r="L120" i="10"/>
  <c r="L114" i="10"/>
  <c r="L130" i="10"/>
  <c r="L118" i="10"/>
  <c r="L126" i="10"/>
  <c r="L123" i="10"/>
  <c r="L124" i="10"/>
  <c r="L127" i="10"/>
  <c r="L125" i="10"/>
  <c r="L128" i="10"/>
  <c r="L131" i="10"/>
  <c r="L122" i="10"/>
  <c r="L119" i="10"/>
  <c r="L121" i="10"/>
  <c r="L112" i="10"/>
  <c r="L116" i="10"/>
  <c r="F4" i="14"/>
  <c r="F5" i="14"/>
  <c r="C39" i="10" s="1"/>
  <c r="F6" i="14"/>
  <c r="F7" i="14"/>
  <c r="F8" i="14"/>
  <c r="C44" i="10" s="1"/>
  <c r="F9" i="14"/>
  <c r="C42" i="10" s="1"/>
  <c r="F10" i="14"/>
  <c r="F11" i="14"/>
  <c r="C57" i="6" s="1"/>
  <c r="F12" i="14"/>
  <c r="C73" i="10" s="1"/>
  <c r="F13" i="14"/>
  <c r="C69" i="10" s="1"/>
  <c r="F14" i="14"/>
  <c r="C68" i="10" s="1"/>
  <c r="F15" i="14"/>
  <c r="C78" i="10" s="1"/>
  <c r="F16" i="14"/>
  <c r="C71" i="10" s="1"/>
  <c r="F17" i="14"/>
  <c r="C55" i="10" s="1"/>
  <c r="F18" i="14"/>
  <c r="C58" i="15" s="1"/>
  <c r="F19" i="14"/>
  <c r="F20" i="14"/>
  <c r="C70" i="10" s="1"/>
  <c r="F21" i="14"/>
  <c r="C36" i="10" s="1"/>
  <c r="F22" i="14"/>
  <c r="C35" i="10" s="1"/>
  <c r="F23" i="14"/>
  <c r="C58" i="10" s="1"/>
  <c r="F24" i="14"/>
  <c r="F25" i="14"/>
  <c r="C94" i="15" s="1"/>
  <c r="F26" i="14"/>
  <c r="C67" i="10" s="1"/>
  <c r="F27" i="14"/>
  <c r="C46" i="10" s="1"/>
  <c r="F28" i="14"/>
  <c r="F29" i="14"/>
  <c r="F30" i="14"/>
  <c r="C48" i="10" s="1"/>
  <c r="F31" i="14"/>
  <c r="C60" i="6" s="1"/>
  <c r="F32" i="14"/>
  <c r="C52" i="10" s="1"/>
  <c r="F33" i="14"/>
  <c r="C104" i="15" s="1"/>
  <c r="F34" i="14"/>
  <c r="C107" i="15" s="1"/>
  <c r="F35" i="14"/>
  <c r="F36" i="14"/>
  <c r="C39" i="15" s="1"/>
  <c r="F37" i="14"/>
  <c r="F38" i="14"/>
  <c r="C53" i="15" s="1"/>
  <c r="F39" i="14"/>
  <c r="C65" i="10" s="1"/>
  <c r="F40" i="14"/>
  <c r="C38" i="10" s="1"/>
  <c r="F41" i="14"/>
  <c r="F42" i="14"/>
  <c r="F43" i="14"/>
  <c r="C30" i="10" s="1"/>
  <c r="F44" i="14"/>
  <c r="C62" i="10" s="1"/>
  <c r="F45" i="14"/>
  <c r="C54" i="6" s="1"/>
  <c r="F46" i="14"/>
  <c r="C32" i="10" s="1"/>
  <c r="F47" i="14"/>
  <c r="F48" i="14"/>
  <c r="F49" i="14"/>
  <c r="F50" i="14"/>
  <c r="C45" i="10" s="1"/>
  <c r="F51" i="14"/>
  <c r="F52" i="14"/>
  <c r="F53" i="14"/>
  <c r="F54" i="14"/>
  <c r="C59" i="10" s="1"/>
  <c r="F55" i="14"/>
  <c r="F56" i="14"/>
  <c r="C53" i="10" s="1"/>
  <c r="F57" i="14"/>
  <c r="F58" i="14"/>
  <c r="F59" i="14"/>
  <c r="F60" i="14"/>
  <c r="F61" i="14"/>
  <c r="C68" i="6" s="1"/>
  <c r="F62" i="14"/>
  <c r="C61" i="10" s="1"/>
  <c r="F63" i="14"/>
  <c r="C47" i="10" s="1"/>
  <c r="F64" i="14"/>
  <c r="C60" i="10" s="1"/>
  <c r="F65" i="14"/>
  <c r="F66" i="14"/>
  <c r="F67" i="14"/>
  <c r="F68" i="14"/>
  <c r="C37" i="10" s="1"/>
  <c r="F69" i="14"/>
  <c r="F70" i="14"/>
  <c r="F71" i="14"/>
  <c r="C72" i="15" s="1"/>
  <c r="F72" i="14"/>
  <c r="F73" i="14"/>
  <c r="F74" i="14"/>
  <c r="F85" i="14"/>
  <c r="C40" i="10" s="1"/>
  <c r="F86" i="14"/>
  <c r="F87" i="14"/>
  <c r="C109" i="15" s="1"/>
  <c r="F88" i="14"/>
  <c r="F89" i="14"/>
  <c r="F90" i="14"/>
  <c r="F91" i="14"/>
  <c r="F92" i="14"/>
  <c r="C79" i="10" s="1"/>
  <c r="F93" i="14"/>
  <c r="F94" i="14"/>
  <c r="C93" i="10" s="1"/>
  <c r="F95" i="14"/>
  <c r="F96" i="14"/>
  <c r="C91" i="10" s="1"/>
  <c r="F97" i="14"/>
  <c r="C90" i="10" s="1"/>
  <c r="F98" i="14"/>
  <c r="C98" i="10" s="1"/>
  <c r="F99" i="14"/>
  <c r="F100" i="14"/>
  <c r="C83" i="10" s="1"/>
  <c r="F101" i="14"/>
  <c r="C100" i="10" s="1"/>
  <c r="F102" i="14"/>
  <c r="C101" i="10" s="1"/>
  <c r="F103" i="14"/>
  <c r="C85" i="6" s="1"/>
  <c r="F104" i="14"/>
  <c r="C41" i="10" s="1"/>
  <c r="F105" i="14"/>
  <c r="C49" i="10" s="1"/>
  <c r="F106" i="14"/>
  <c r="F107" i="14"/>
  <c r="C75" i="10" s="1"/>
  <c r="F108" i="14"/>
  <c r="F109" i="14"/>
  <c r="C84" i="10" s="1"/>
  <c r="F110" i="14"/>
  <c r="F111" i="14"/>
  <c r="F112" i="14"/>
  <c r="C95" i="10" s="1"/>
  <c r="F113" i="14"/>
  <c r="F114" i="14"/>
  <c r="C85" i="10" s="1"/>
  <c r="F115" i="14"/>
  <c r="C86" i="10" s="1"/>
  <c r="F116" i="14"/>
  <c r="F117" i="14"/>
  <c r="F118" i="14"/>
  <c r="C88" i="10" s="1"/>
  <c r="F120" i="14"/>
  <c r="C99" i="10" s="1"/>
  <c r="F121" i="14"/>
  <c r="F122" i="14"/>
  <c r="C28" i="10" s="1"/>
  <c r="F123" i="14"/>
  <c r="C64" i="10" s="1"/>
  <c r="F125" i="14"/>
  <c r="F126" i="14"/>
  <c r="C87" i="10" s="1"/>
  <c r="F127" i="14"/>
  <c r="F128" i="14"/>
  <c r="F129" i="14"/>
  <c r="F130" i="14"/>
  <c r="F131" i="14"/>
  <c r="F132" i="14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J6" i="10"/>
  <c r="J7" i="10"/>
  <c r="J8" i="10"/>
  <c r="J9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I104" i="10"/>
  <c r="J104" i="10"/>
  <c r="I105" i="10"/>
  <c r="J105" i="10"/>
  <c r="I106" i="10"/>
  <c r="J106" i="10"/>
  <c r="I107" i="10"/>
  <c r="J107" i="10"/>
  <c r="I108" i="10"/>
  <c r="J108" i="10"/>
  <c r="I109" i="10"/>
  <c r="J109" i="10"/>
  <c r="I110" i="10"/>
  <c r="J110" i="10"/>
  <c r="I111" i="10"/>
  <c r="J111" i="10"/>
  <c r="J4" i="10"/>
  <c r="D12" i="12" s="1"/>
  <c r="C42" i="6" l="1"/>
  <c r="C94" i="10"/>
  <c r="C50" i="6"/>
  <c r="C89" i="10"/>
  <c r="C30" i="6"/>
  <c r="C102" i="10"/>
  <c r="C31" i="6"/>
  <c r="C103" i="10"/>
  <c r="C71" i="6"/>
  <c r="C97" i="10"/>
  <c r="C72" i="6"/>
  <c r="C92" i="10"/>
  <c r="C18" i="6"/>
  <c r="C81" i="10"/>
  <c r="C103" i="6"/>
  <c r="C80" i="10"/>
  <c r="C29" i="15"/>
  <c r="C82" i="10"/>
  <c r="C105" i="15"/>
  <c r="C76" i="10"/>
  <c r="C70" i="6"/>
  <c r="C74" i="10"/>
  <c r="C46" i="6"/>
  <c r="C66" i="10"/>
  <c r="C101" i="15"/>
  <c r="C57" i="10"/>
  <c r="C91" i="15"/>
  <c r="C72" i="10"/>
  <c r="C55" i="15"/>
  <c r="C63" i="10"/>
  <c r="C106" i="15"/>
  <c r="C56" i="10"/>
  <c r="C16" i="6"/>
  <c r="C34" i="15"/>
  <c r="C50" i="10"/>
  <c r="C84" i="6"/>
  <c r="C54" i="10"/>
  <c r="C60" i="15"/>
  <c r="C31" i="10"/>
  <c r="C47" i="15"/>
  <c r="C33" i="10"/>
  <c r="C21" i="6"/>
  <c r="C99" i="6"/>
  <c r="C30" i="15"/>
  <c r="C53" i="6"/>
  <c r="C54" i="15"/>
  <c r="C108" i="15"/>
  <c r="C45" i="6"/>
  <c r="C4" i="10"/>
  <c r="C85" i="15"/>
  <c r="C38" i="6"/>
  <c r="C112" i="15"/>
  <c r="C37" i="6"/>
  <c r="C96" i="6"/>
  <c r="C79" i="15"/>
  <c r="C98" i="15"/>
  <c r="C67" i="6"/>
  <c r="C12" i="6"/>
  <c r="C40" i="6"/>
  <c r="C35" i="15"/>
  <c r="C10" i="10"/>
  <c r="G88" i="14"/>
  <c r="D10" i="10" s="1"/>
  <c r="C40" i="15"/>
  <c r="C43" i="15"/>
  <c r="C82" i="6"/>
  <c r="C59" i="6"/>
  <c r="C103" i="15"/>
  <c r="C75" i="15"/>
  <c r="C33" i="6"/>
  <c r="C75" i="6"/>
  <c r="C49" i="15"/>
  <c r="C10" i="6"/>
  <c r="C49" i="6"/>
  <c r="C81" i="15"/>
  <c r="C44" i="6"/>
  <c r="C81" i="6"/>
  <c r="C84" i="15"/>
  <c r="C58" i="6"/>
  <c r="C64" i="15"/>
  <c r="C55" i="6"/>
  <c r="C102" i="15"/>
  <c r="C13" i="6"/>
  <c r="C110" i="15"/>
  <c r="C35" i="6"/>
  <c r="C73" i="6"/>
  <c r="C51" i="15"/>
  <c r="C25" i="10"/>
  <c r="C77" i="15"/>
  <c r="C32" i="15"/>
  <c r="C28" i="6"/>
  <c r="C66" i="15"/>
  <c r="C87" i="6"/>
  <c r="C93" i="6"/>
  <c r="C46" i="15"/>
  <c r="C74" i="15"/>
  <c r="C48" i="6"/>
  <c r="C51" i="6"/>
  <c r="C89" i="6"/>
  <c r="C67" i="15"/>
  <c r="C56" i="15"/>
  <c r="C61" i="6"/>
  <c r="C7" i="6"/>
  <c r="C33" i="15"/>
  <c r="C14" i="6"/>
  <c r="C99" i="15"/>
  <c r="C47" i="6"/>
  <c r="C95" i="15"/>
  <c r="C66" i="6"/>
  <c r="C78" i="15"/>
  <c r="C86" i="6"/>
  <c r="C34" i="6"/>
  <c r="C70" i="15"/>
  <c r="C76" i="15"/>
  <c r="C43" i="6"/>
  <c r="C39" i="6"/>
  <c r="C61" i="15"/>
  <c r="C17" i="6"/>
  <c r="C38" i="15"/>
  <c r="C96" i="15"/>
  <c r="C69" i="6"/>
  <c r="C26" i="6"/>
  <c r="C65" i="6"/>
  <c r="C68" i="15"/>
  <c r="C57" i="15"/>
  <c r="C101" i="6"/>
  <c r="C29" i="6"/>
  <c r="C80" i="15"/>
  <c r="C91" i="6"/>
  <c r="C45" i="15"/>
  <c r="C50" i="15"/>
  <c r="C74" i="6"/>
  <c r="C22" i="6"/>
  <c r="C94" i="6"/>
  <c r="C36" i="15"/>
  <c r="C11" i="6"/>
  <c r="C102" i="6"/>
  <c r="C92" i="15"/>
  <c r="C65" i="15"/>
  <c r="C88" i="6"/>
  <c r="C80" i="6"/>
  <c r="C41" i="15"/>
  <c r="C24" i="6"/>
  <c r="C52" i="6"/>
  <c r="C92" i="6"/>
  <c r="C71" i="15"/>
  <c r="C19" i="6"/>
  <c r="C98" i="6"/>
  <c r="C73" i="15"/>
  <c r="C111" i="15"/>
  <c r="C36" i="6"/>
  <c r="C90" i="6"/>
  <c r="C44" i="15"/>
  <c r="C97" i="6"/>
  <c r="C37" i="15"/>
  <c r="C15" i="6"/>
  <c r="C31" i="15"/>
  <c r="C63" i="6"/>
  <c r="C42" i="15"/>
  <c r="C83" i="6"/>
  <c r="C64" i="6"/>
  <c r="C93" i="15"/>
  <c r="C23" i="6"/>
  <c r="C95" i="6"/>
  <c r="C89" i="15"/>
  <c r="C20" i="6"/>
  <c r="C62" i="6"/>
  <c r="C62" i="15"/>
  <c r="C90" i="15"/>
  <c r="C104" i="6"/>
  <c r="C52" i="15"/>
  <c r="C76" i="6"/>
  <c r="C25" i="6"/>
  <c r="C6" i="15"/>
  <c r="N16" i="6"/>
  <c r="C22" i="10"/>
  <c r="C8" i="6"/>
  <c r="C11" i="10"/>
  <c r="C28" i="15"/>
  <c r="C27" i="6"/>
  <c r="C20" i="10"/>
  <c r="C9" i="6"/>
  <c r="C23" i="10"/>
  <c r="C6" i="6"/>
  <c r="S16" i="6"/>
  <c r="T15" i="10"/>
  <c r="Y15" i="10"/>
  <c r="D17" i="12"/>
  <c r="D15" i="12"/>
  <c r="D16" i="12"/>
  <c r="C10" i="15"/>
  <c r="C26" i="10"/>
  <c r="C19" i="15"/>
  <c r="C15" i="10"/>
  <c r="C15" i="15"/>
  <c r="C21" i="10"/>
  <c r="C27" i="10"/>
  <c r="C18" i="15"/>
  <c r="C16" i="10"/>
  <c r="C27" i="15"/>
  <c r="C5" i="10"/>
  <c r="C14" i="10"/>
  <c r="C17" i="15"/>
  <c r="C17" i="10"/>
  <c r="C14" i="15"/>
  <c r="C24" i="10"/>
  <c r="C13" i="15"/>
  <c r="C11" i="15"/>
  <c r="C7" i="10"/>
  <c r="C25" i="15"/>
  <c r="C20" i="15"/>
  <c r="C13" i="10"/>
  <c r="C18" i="10"/>
  <c r="C12" i="15"/>
  <c r="C23" i="15"/>
  <c r="C16" i="15"/>
  <c r="C19" i="10"/>
  <c r="C24" i="15"/>
  <c r="C8" i="10"/>
  <c r="C9" i="10"/>
  <c r="C21" i="15"/>
  <c r="C12" i="10"/>
  <c r="C22" i="15"/>
  <c r="C8" i="15"/>
  <c r="C6" i="10"/>
  <c r="C26" i="15"/>
  <c r="C5" i="15"/>
  <c r="C7" i="15"/>
  <c r="C9" i="15"/>
  <c r="C5" i="6"/>
  <c r="C4" i="6"/>
  <c r="C4" i="15"/>
  <c r="J5" i="10"/>
  <c r="F14" i="12" l="1"/>
  <c r="E14" i="12"/>
  <c r="K104" i="10" l="1"/>
  <c r="L104" i="10" s="1"/>
  <c r="K105" i="10"/>
  <c r="L105" i="10" s="1"/>
  <c r="K106" i="10"/>
  <c r="L106" i="10" s="1"/>
  <c r="K107" i="10"/>
  <c r="L107" i="10" s="1"/>
  <c r="K108" i="10"/>
  <c r="L108" i="10" s="1"/>
  <c r="K109" i="10"/>
  <c r="L109" i="10" s="1"/>
  <c r="K110" i="10"/>
  <c r="L110" i="10" s="1"/>
  <c r="K111" i="10"/>
  <c r="L111" i="10" s="1"/>
  <c r="N16" i="15"/>
  <c r="H4" i="15" l="1"/>
  <c r="H5" i="15"/>
  <c r="H6" i="15"/>
  <c r="H7" i="15"/>
  <c r="H8" i="15"/>
  <c r="H9" i="15"/>
  <c r="H10" i="15"/>
  <c r="H11" i="15"/>
  <c r="H12" i="15"/>
  <c r="S12" i="15"/>
  <c r="H13" i="15"/>
  <c r="H14" i="15"/>
  <c r="H15" i="15"/>
  <c r="H16" i="15"/>
  <c r="S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I4" i="10"/>
  <c r="K4" i="10"/>
  <c r="L4" i="10"/>
  <c r="I5" i="10"/>
  <c r="K5" i="10"/>
  <c r="L5" i="10"/>
  <c r="I6" i="10"/>
  <c r="K6" i="10"/>
  <c r="L6" i="10"/>
  <c r="I7" i="10"/>
  <c r="K7" i="10"/>
  <c r="L7" i="10"/>
  <c r="I8" i="10"/>
  <c r="K8" i="10"/>
  <c r="L8" i="10"/>
  <c r="I9" i="10"/>
  <c r="K9" i="10"/>
  <c r="L9" i="10"/>
  <c r="I10" i="10"/>
  <c r="K10" i="10"/>
  <c r="L10" i="10"/>
  <c r="I11" i="10"/>
  <c r="K11" i="10"/>
  <c r="L11" i="10"/>
  <c r="I12" i="10"/>
  <c r="K12" i="10"/>
  <c r="L12" i="10"/>
  <c r="I13" i="10"/>
  <c r="K13" i="10"/>
  <c r="L13" i="10"/>
  <c r="I14" i="10"/>
  <c r="K14" i="10"/>
  <c r="L14" i="10"/>
  <c r="I15" i="10"/>
  <c r="K15" i="10"/>
  <c r="L15" i="10"/>
  <c r="I16" i="10"/>
  <c r="K16" i="10"/>
  <c r="L16" i="10"/>
  <c r="I17" i="10"/>
  <c r="K17" i="10"/>
  <c r="L17" i="10"/>
  <c r="I18" i="10"/>
  <c r="K18" i="10"/>
  <c r="L18" i="10"/>
  <c r="I19" i="10"/>
  <c r="K19" i="10"/>
  <c r="L19" i="10"/>
  <c r="I20" i="10"/>
  <c r="K20" i="10"/>
  <c r="L20" i="10"/>
  <c r="I21" i="10"/>
  <c r="K21" i="10"/>
  <c r="L21" i="10"/>
  <c r="I22" i="10"/>
  <c r="K22" i="10"/>
  <c r="L22" i="10"/>
  <c r="I23" i="10"/>
  <c r="K23" i="10"/>
  <c r="L23" i="10"/>
  <c r="I24" i="10"/>
  <c r="K24" i="10"/>
  <c r="L24" i="10"/>
  <c r="I25" i="10"/>
  <c r="K25" i="10"/>
  <c r="L25" i="10"/>
  <c r="I26" i="10"/>
  <c r="K26" i="10"/>
  <c r="L26" i="10"/>
  <c r="I27" i="10"/>
  <c r="K27" i="10"/>
  <c r="L27" i="10"/>
  <c r="I28" i="10"/>
  <c r="K28" i="10"/>
  <c r="L28" i="10"/>
  <c r="I29" i="10"/>
  <c r="K29" i="10"/>
  <c r="L29" i="10"/>
  <c r="I30" i="10"/>
  <c r="K30" i="10"/>
  <c r="L30" i="10"/>
  <c r="I31" i="10"/>
  <c r="K31" i="10"/>
  <c r="L31" i="10"/>
  <c r="I32" i="10"/>
  <c r="K32" i="10"/>
  <c r="L32" i="10"/>
  <c r="I33" i="10"/>
  <c r="K33" i="10"/>
  <c r="L33" i="10"/>
  <c r="I34" i="10"/>
  <c r="K34" i="10"/>
  <c r="L34" i="10"/>
  <c r="I35" i="10"/>
  <c r="K35" i="10"/>
  <c r="L35" i="10"/>
  <c r="I36" i="10"/>
  <c r="K36" i="10"/>
  <c r="L36" i="10"/>
  <c r="I37" i="10"/>
  <c r="K37" i="10"/>
  <c r="L37" i="10"/>
  <c r="I38" i="10"/>
  <c r="K38" i="10"/>
  <c r="L38" i="10"/>
  <c r="I39" i="10"/>
  <c r="K39" i="10"/>
  <c r="L39" i="10"/>
  <c r="I40" i="10"/>
  <c r="K40" i="10"/>
  <c r="L40" i="10"/>
  <c r="I41" i="10"/>
  <c r="K41" i="10"/>
  <c r="L41" i="10"/>
  <c r="I42" i="10"/>
  <c r="K42" i="10"/>
  <c r="L42" i="10"/>
  <c r="I43" i="10"/>
  <c r="K43" i="10"/>
  <c r="L43" i="10"/>
  <c r="I44" i="10"/>
  <c r="K44" i="10"/>
  <c r="L44" i="10"/>
  <c r="I45" i="10"/>
  <c r="K45" i="10"/>
  <c r="L45" i="10"/>
  <c r="I46" i="10"/>
  <c r="K46" i="10"/>
  <c r="L46" i="10"/>
  <c r="I47" i="10"/>
  <c r="K47" i="10"/>
  <c r="L47" i="10"/>
  <c r="I48" i="10"/>
  <c r="K48" i="10"/>
  <c r="L48" i="10"/>
  <c r="I49" i="10"/>
  <c r="K49" i="10"/>
  <c r="L49" i="10"/>
  <c r="I50" i="10"/>
  <c r="K50" i="10"/>
  <c r="L50" i="10"/>
  <c r="I51" i="10"/>
  <c r="K51" i="10"/>
  <c r="L51" i="10"/>
  <c r="I52" i="10"/>
  <c r="K52" i="10"/>
  <c r="L52" i="10"/>
  <c r="I53" i="10"/>
  <c r="K53" i="10"/>
  <c r="L53" i="10"/>
  <c r="I54" i="10"/>
  <c r="K54" i="10"/>
  <c r="L54" i="10"/>
  <c r="I55" i="10"/>
  <c r="K55" i="10"/>
  <c r="L55" i="10"/>
  <c r="I56" i="10"/>
  <c r="K56" i="10"/>
  <c r="L56" i="10"/>
  <c r="I57" i="10"/>
  <c r="K57" i="10"/>
  <c r="L57" i="10"/>
  <c r="I58" i="10"/>
  <c r="K58" i="10"/>
  <c r="L58" i="10"/>
  <c r="I59" i="10"/>
  <c r="K59" i="10"/>
  <c r="L59" i="10"/>
  <c r="I60" i="10"/>
  <c r="K60" i="10"/>
  <c r="L60" i="10"/>
  <c r="I61" i="10"/>
  <c r="K61" i="10"/>
  <c r="L61" i="10"/>
  <c r="I62" i="10"/>
  <c r="K62" i="10"/>
  <c r="L62" i="10"/>
  <c r="I63" i="10"/>
  <c r="K63" i="10"/>
  <c r="L63" i="10"/>
  <c r="I64" i="10"/>
  <c r="K64" i="10"/>
  <c r="L64" i="10"/>
  <c r="I65" i="10"/>
  <c r="K65" i="10"/>
  <c r="L65" i="10"/>
  <c r="I66" i="10"/>
  <c r="K66" i="10"/>
  <c r="L66" i="10"/>
  <c r="I67" i="10"/>
  <c r="K67" i="10"/>
  <c r="L67" i="10"/>
  <c r="I68" i="10"/>
  <c r="K68" i="10"/>
  <c r="L68" i="10"/>
  <c r="I69" i="10"/>
  <c r="K69" i="10"/>
  <c r="L69" i="10"/>
  <c r="I70" i="10"/>
  <c r="K70" i="10"/>
  <c r="L70" i="10"/>
  <c r="I71" i="10"/>
  <c r="K71" i="10"/>
  <c r="L71" i="10"/>
  <c r="I72" i="10"/>
  <c r="K72" i="10"/>
  <c r="L72" i="10"/>
  <c r="I73" i="10"/>
  <c r="K73" i="10"/>
  <c r="L73" i="10"/>
  <c r="I74" i="10"/>
  <c r="K74" i="10"/>
  <c r="L74" i="10"/>
  <c r="I75" i="10"/>
  <c r="K75" i="10"/>
  <c r="L75" i="10"/>
  <c r="I76" i="10"/>
  <c r="K76" i="10"/>
  <c r="L76" i="10"/>
  <c r="I77" i="10"/>
  <c r="K77" i="10"/>
  <c r="L77" i="10"/>
  <c r="I78" i="10"/>
  <c r="K78" i="10"/>
  <c r="L78" i="10"/>
  <c r="I79" i="10"/>
  <c r="K79" i="10"/>
  <c r="L79" i="10"/>
  <c r="I80" i="10"/>
  <c r="K80" i="10"/>
  <c r="L80" i="10"/>
  <c r="I81" i="10"/>
  <c r="K81" i="10"/>
  <c r="L81" i="10"/>
  <c r="I82" i="10"/>
  <c r="K82" i="10"/>
  <c r="L82" i="10"/>
  <c r="I83" i="10"/>
  <c r="K83" i="10"/>
  <c r="L83" i="10"/>
  <c r="I84" i="10"/>
  <c r="K84" i="10"/>
  <c r="L84" i="10"/>
  <c r="I85" i="10"/>
  <c r="K85" i="10"/>
  <c r="L85" i="10"/>
  <c r="I86" i="10"/>
  <c r="K86" i="10"/>
  <c r="L86" i="10"/>
  <c r="I87" i="10"/>
  <c r="K87" i="10"/>
  <c r="L87" i="10"/>
  <c r="I88" i="10"/>
  <c r="K88" i="10"/>
  <c r="L88" i="10"/>
  <c r="I89" i="10"/>
  <c r="K89" i="10"/>
  <c r="L89" i="10"/>
  <c r="I90" i="10"/>
  <c r="K90" i="10"/>
  <c r="L90" i="10"/>
  <c r="I91" i="10"/>
  <c r="K91" i="10"/>
  <c r="L91" i="10"/>
  <c r="I92" i="10"/>
  <c r="K92" i="10"/>
  <c r="L92" i="10"/>
  <c r="I93" i="10"/>
  <c r="K93" i="10"/>
  <c r="L93" i="10"/>
  <c r="I94" i="10"/>
  <c r="K94" i="10"/>
  <c r="L94" i="10"/>
  <c r="I95" i="10"/>
  <c r="K95" i="10"/>
  <c r="L95" i="10"/>
  <c r="I96" i="10"/>
  <c r="K96" i="10"/>
  <c r="L96" i="10"/>
  <c r="I97" i="10"/>
  <c r="K97" i="10"/>
  <c r="L97" i="10"/>
  <c r="I98" i="10"/>
  <c r="K98" i="10"/>
  <c r="L98" i="10"/>
  <c r="I99" i="10"/>
  <c r="K99" i="10"/>
  <c r="L99" i="10"/>
  <c r="I100" i="10"/>
  <c r="K100" i="10"/>
  <c r="L100" i="10"/>
  <c r="I101" i="10"/>
  <c r="K101" i="10"/>
  <c r="L101" i="10"/>
  <c r="I102" i="10"/>
  <c r="K102" i="10"/>
  <c r="L102" i="10"/>
  <c r="I103" i="10"/>
  <c r="K103" i="10"/>
  <c r="L103" i="10"/>
  <c r="D11" i="12"/>
  <c r="D13" i="12"/>
  <c r="D14" i="12"/>
</calcChain>
</file>

<file path=xl/sharedStrings.xml><?xml version="1.0" encoding="utf-8"?>
<sst xmlns="http://schemas.openxmlformats.org/spreadsheetml/2006/main" count="1302" uniqueCount="348">
  <si>
    <t>ลำดับ</t>
  </si>
  <si>
    <t>เพศ</t>
  </si>
  <si>
    <t>หมายเลขแข่งขัน</t>
  </si>
  <si>
    <t>BIB Number</t>
  </si>
  <si>
    <t>No.</t>
  </si>
  <si>
    <t>Name Surname</t>
  </si>
  <si>
    <t>Age Group</t>
  </si>
  <si>
    <t>กลุ่มอายุ</t>
  </si>
  <si>
    <t>Check in Time</t>
  </si>
  <si>
    <t>รายงานตัวจุดปล่อยตัว</t>
  </si>
  <si>
    <t>Finish Time</t>
  </si>
  <si>
    <t>เวลาสิ้นสุดการแข่งขัน</t>
  </si>
  <si>
    <t>เวลาที่ใช้</t>
  </si>
  <si>
    <t>Start Time</t>
  </si>
  <si>
    <t>เวลาปล่อยตัว</t>
  </si>
  <si>
    <t>Name :</t>
  </si>
  <si>
    <t>Check in :</t>
  </si>
  <si>
    <t>* Provisional Result</t>
  </si>
  <si>
    <t>Timing System by Mea Khanin Club</t>
  </si>
  <si>
    <t>คำนำหน้าชื่อ</t>
  </si>
  <si>
    <t>Thai</t>
  </si>
  <si>
    <t>BARCODE</t>
  </si>
  <si>
    <t>หมายเหตุ
Remark</t>
  </si>
  <si>
    <t>Nationality</t>
  </si>
  <si>
    <t xml:space="preserve">สัญชาติ </t>
  </si>
  <si>
    <t>Name on BIB</t>
  </si>
  <si>
    <t>ชื่อบนหมายเลขวิ่ง</t>
  </si>
  <si>
    <t>สัญชาติ</t>
  </si>
  <si>
    <t>รายงานตัว ณ จุดปล่อยตัว</t>
  </si>
  <si>
    <r>
      <t xml:space="preserve">BIB COLLECTION
</t>
    </r>
    <r>
      <rPr>
        <b/>
        <sz val="10"/>
        <color theme="1"/>
        <rFont val="Calibri"/>
        <family val="2"/>
        <scheme val="minor"/>
      </rPr>
      <t>Privacy Notice Agree</t>
    </r>
  </si>
  <si>
    <t>Category</t>
  </si>
  <si>
    <t>ประเภทแข่งขัน</t>
  </si>
  <si>
    <t>Name Surname, Team</t>
  </si>
  <si>
    <t>ชื่อ-นามสกุล หรือชื่อทีม</t>
  </si>
  <si>
    <t>Category :</t>
  </si>
  <si>
    <t>Gender</t>
  </si>
  <si>
    <t>Gender :</t>
  </si>
  <si>
    <t>CHECK BIB RUNNER "Mae Khanin Trail 2024"</t>
  </si>
  <si>
    <t>CHECK IN RUNNER  "Mae Khanin Trail 2024"</t>
  </si>
  <si>
    <t>ชื่อ-นามสกุล</t>
  </si>
  <si>
    <t>Start Time
เวลาปล่อยตัว</t>
  </si>
  <si>
    <t>Finish Time :</t>
  </si>
  <si>
    <t xml:space="preserve">Age Group : </t>
  </si>
  <si>
    <t xml:space="preserve">Overall Rank : </t>
  </si>
  <si>
    <t>Start Time :</t>
  </si>
  <si>
    <t>Age Group :</t>
  </si>
  <si>
    <t>MKT50</t>
  </si>
  <si>
    <t>แถบหมายเลข</t>
  </si>
  <si>
    <t>FIRST NAME-LAST NAME</t>
  </si>
  <si>
    <t>GENDER</t>
  </si>
  <si>
    <t>NATIONALITY</t>
  </si>
  <si>
    <t>BIB NUMBER</t>
  </si>
  <si>
    <t>ผู้ติดต่อกรณีฉุกเฉิน (Emergency contact) /
 หมายเลขโทรศัพท์ (Telephone number emergency contact)</t>
  </si>
  <si>
    <t>จำนวนผู้เข้าแข่งขัน (คน)</t>
  </si>
  <si>
    <t>รวม</t>
  </si>
  <si>
    <t>แยกช่วงอายุ</t>
  </si>
  <si>
    <t>MR, MISS Or MRS</t>
  </si>
  <si>
    <t>นาย (Mr.)</t>
  </si>
  <si>
    <t>นางสาว / นาง (Miss/Mrs.)</t>
  </si>
  <si>
    <t>นาย Mr.</t>
  </si>
  <si>
    <t>Mr.</t>
  </si>
  <si>
    <t>SUCHAT PLEESUDJAI</t>
  </si>
  <si>
    <t>Nipon Patcharasatid</t>
  </si>
  <si>
    <t>PRAYAT JIT-AREE</t>
  </si>
  <si>
    <t>Thiramad Thanetjindarat</t>
  </si>
  <si>
    <t>Montri Thanetjindarat</t>
  </si>
  <si>
    <t>Vatchara Pumnoi</t>
  </si>
  <si>
    <t>Khamnong Seeda</t>
  </si>
  <si>
    <t>Teerapong Tummapan</t>
  </si>
  <si>
    <t>Peamsook Kuntaseema</t>
  </si>
  <si>
    <t>Nadhakan Shinnaranantana</t>
  </si>
  <si>
    <t>Daranee Chotisthayangura</t>
  </si>
  <si>
    <t>Janthima Chotisthayangura</t>
  </si>
  <si>
    <t>Nongluck Sermsupt</t>
  </si>
  <si>
    <t>PHAWINEE TIPHAWANG</t>
  </si>
  <si>
    <t>Settha phaikhamnam</t>
  </si>
  <si>
    <t>NUTTAWUT SUPANURAT</t>
  </si>
  <si>
    <t>Piyamad Sompamoon</t>
  </si>
  <si>
    <t>NIPAWAN JAITANONG</t>
  </si>
  <si>
    <t>SOMCHID KANTHAYA</t>
  </si>
  <si>
    <t>KAMONRUT THONGRAK</t>
  </si>
  <si>
    <t>SUDARAT TAOLAT</t>
  </si>
  <si>
    <t>Suthep Jirapatpongsakorn</t>
  </si>
  <si>
    <t>panuwat buayoy</t>
  </si>
  <si>
    <t>Sireetorn Arunrukthavon</t>
  </si>
  <si>
    <t>Baramee Navanopparatskul</t>
  </si>
  <si>
    <t>Kamol wattanapanich</t>
  </si>
  <si>
    <t>Dan Koottatep</t>
  </si>
  <si>
    <t>Rataporn Tipmontree</t>
  </si>
  <si>
    <t>Thanakorn Nerawan</t>
  </si>
  <si>
    <t>Chonhathai Thiensiri</t>
  </si>
  <si>
    <t>Nitithron Asawawongmethee</t>
  </si>
  <si>
    <t>Pornpot kajornjit</t>
  </si>
  <si>
    <t>Oliver Helm</t>
  </si>
  <si>
    <t>anuchit boonsiri</t>
  </si>
  <si>
    <t>Stefan Engel</t>
  </si>
  <si>
    <t>Christian Wendell</t>
  </si>
  <si>
    <t>Nisa Khamwongsa</t>
  </si>
  <si>
    <t>manoo sukthang</t>
  </si>
  <si>
    <t>Somphol Sirisaringkarn</t>
  </si>
  <si>
    <t>Torpong Mansumruatkan</t>
  </si>
  <si>
    <t>Matcha Phorin</t>
  </si>
  <si>
    <t>Veerawn Wanna</t>
  </si>
  <si>
    <t>Siriwan Phomin</t>
  </si>
  <si>
    <t>Putthapong Jitrakyad</t>
  </si>
  <si>
    <t>Somsir Labbuda</t>
  </si>
  <si>
    <t>Jularruck Chuntapa</t>
  </si>
  <si>
    <t>Athippakorn Lnjinda</t>
  </si>
  <si>
    <t>KAMOL SUKWANG</t>
  </si>
  <si>
    <t>Emmanuel Abadie</t>
  </si>
  <si>
    <t>William BJ Schulte</t>
  </si>
  <si>
    <t>SUPAROEK NIYOMKARN</t>
  </si>
  <si>
    <t>Teeranni Jundee</t>
  </si>
  <si>
    <t>Totsaporn Muamgngam</t>
  </si>
  <si>
    <t>Surasak Chuntapa</t>
  </si>
  <si>
    <t>Wechson Khampinit</t>
  </si>
  <si>
    <t>Charuwat Ketsorn</t>
  </si>
  <si>
    <t>Ratsamee Dawjbon</t>
  </si>
  <si>
    <t>Anthong Araujo</t>
  </si>
  <si>
    <t>JULARRUCK LOMPAIBOON</t>
  </si>
  <si>
    <t>BENYADA YOSHSINGCOME</t>
  </si>
  <si>
    <t>THUNYALUK BOONPONG</t>
  </si>
  <si>
    <t>ARONYA CHOTWORAMEDNI</t>
  </si>
  <si>
    <t>Uthai Pim </t>
  </si>
  <si>
    <t>Ittipon uppapong</t>
  </si>
  <si>
    <t>Aiyada Kultakham</t>
  </si>
  <si>
    <t>Jantaraboon Kiangchaipaiphana</t>
  </si>
  <si>
    <t>Khattiya Homthong</t>
  </si>
  <si>
    <t>SUCHAT.P</t>
  </si>
  <si>
    <t>NIPON.P</t>
  </si>
  <si>
    <t>PRAYAT.J</t>
  </si>
  <si>
    <t>THIRAMAD.T</t>
  </si>
  <si>
    <t>MONTRI.T</t>
  </si>
  <si>
    <t>VATCHARA.P</t>
  </si>
  <si>
    <t>KHAMNONG.S</t>
  </si>
  <si>
    <t>TEERAPONG.T</t>
  </si>
  <si>
    <t>PEAMSOOK.K</t>
  </si>
  <si>
    <t>NADHAKAN.S</t>
  </si>
  <si>
    <t>DARANEE.C</t>
  </si>
  <si>
    <t>JANTHIMA.C</t>
  </si>
  <si>
    <t>NONGLUCK.S</t>
  </si>
  <si>
    <t>PHAWINEE.T</t>
  </si>
  <si>
    <t>SETTHA.P</t>
  </si>
  <si>
    <t>NUTTAWUT.S</t>
  </si>
  <si>
    <t>PIYAMAD.S</t>
  </si>
  <si>
    <t>NIPAWAN.J</t>
  </si>
  <si>
    <t>SOMCHID.K</t>
  </si>
  <si>
    <t>KAMONRUT.T</t>
  </si>
  <si>
    <t>SUDARAT.T</t>
  </si>
  <si>
    <t>SUTHEP.J</t>
  </si>
  <si>
    <t>CHAIRAT.T</t>
  </si>
  <si>
    <t>PANUWAT.B</t>
  </si>
  <si>
    <t>SIREETORN.A</t>
  </si>
  <si>
    <t>BARAMEE.N</t>
  </si>
  <si>
    <t>KAMOL.W</t>
  </si>
  <si>
    <t>DAN KOOTTATEP</t>
  </si>
  <si>
    <t>RATAPORN.T</t>
  </si>
  <si>
    <t>THANAKORN.N</t>
  </si>
  <si>
    <t>CHONHATHAI.T</t>
  </si>
  <si>
    <t>NITITHRON.A</t>
  </si>
  <si>
    <t>PORNPOT.K</t>
  </si>
  <si>
    <t>OLIVER HELM</t>
  </si>
  <si>
    <t>ANUCHIT.B</t>
  </si>
  <si>
    <t>STEFAN ENGEL</t>
  </si>
  <si>
    <t>CHRISTIAN.W</t>
  </si>
  <si>
    <t>NISA.K</t>
  </si>
  <si>
    <t>MANOO.S</t>
  </si>
  <si>
    <t>SOMPHOL.S</t>
  </si>
  <si>
    <t>TORPONG.M</t>
  </si>
  <si>
    <t>MATCHA.P</t>
  </si>
  <si>
    <t>VEERAWN.W</t>
  </si>
  <si>
    <t>SIRIWAN.P</t>
  </si>
  <si>
    <t>PUTTHAPONG.J</t>
  </si>
  <si>
    <t>SOMSIR.L</t>
  </si>
  <si>
    <t>JULARRUCK.C</t>
  </si>
  <si>
    <t>ATHIPPAKORN.L</t>
  </si>
  <si>
    <t>KAMOL.S</t>
  </si>
  <si>
    <t>EMMANUEL.A</t>
  </si>
  <si>
    <t>WILLIAM BJ SCHULTE</t>
  </si>
  <si>
    <t>SUPAROEK.N</t>
  </si>
  <si>
    <t>TEERANNI.J</t>
  </si>
  <si>
    <t>TOTSAPORN.M</t>
  </si>
  <si>
    <t>SURASAK.C</t>
  </si>
  <si>
    <t>WECHSON.K</t>
  </si>
  <si>
    <t>CHARUWAT.K</t>
  </si>
  <si>
    <t>RATSAMEE.D</t>
  </si>
  <si>
    <t>ANTHONG.A</t>
  </si>
  <si>
    <t>JULARRUCK.L</t>
  </si>
  <si>
    <t>BENYADA.Y</t>
  </si>
  <si>
    <t>THUNYALUK.B</t>
  </si>
  <si>
    <t>ARONYA.C</t>
  </si>
  <si>
    <t>UTHAI.P</t>
  </si>
  <si>
    <t>ITTIPON.U</t>
  </si>
  <si>
    <t>AIYADA.K</t>
  </si>
  <si>
    <t>JANTARABOON.K</t>
  </si>
  <si>
    <t>KHATTIYA.H</t>
  </si>
  <si>
    <t>40-49</t>
  </si>
  <si>
    <t>50-59</t>
  </si>
  <si>
    <t>20-39</t>
  </si>
  <si>
    <t>Norwegian</t>
  </si>
  <si>
    <t>New Zealand</t>
  </si>
  <si>
    <t>Swiss</t>
  </si>
  <si>
    <t>Philippines</t>
  </si>
  <si>
    <t>French</t>
  </si>
  <si>
    <t>USA</t>
  </si>
  <si>
    <t>MKT33</t>
  </si>
  <si>
    <t>Green Color</t>
  </si>
  <si>
    <t>L (chest 40)</t>
  </si>
  <si>
    <t>Cream Color</t>
  </si>
  <si>
    <t>M (chest 38)</t>
  </si>
  <si>
    <t>XS (chest 34)</t>
  </si>
  <si>
    <t>XL (chest 42)</t>
  </si>
  <si>
    <t>S (chest 36)</t>
  </si>
  <si>
    <t>XXL (chest 44)</t>
  </si>
  <si>
    <t>M (Chest 38)</t>
  </si>
  <si>
    <t>Jiamjit Tanomsab</t>
  </si>
  <si>
    <t>Narudapa wattanateerapak</t>
  </si>
  <si>
    <t>Sirilax Romphongern</t>
  </si>
  <si>
    <t>Manop Maejit</t>
  </si>
  <si>
    <t>Jaiyasidha Glankwahmdee</t>
  </si>
  <si>
    <t>Borwornvidhya Glankwahmdee</t>
  </si>
  <si>
    <t>Kanokrud Glankwahmdee</t>
  </si>
  <si>
    <t>Weerawat Shatareeyakul</t>
  </si>
  <si>
    <t>Kunnika Tonsakul</t>
  </si>
  <si>
    <t>Rossarin Jinatham</t>
  </si>
  <si>
    <t>Notthakit Kasee</t>
  </si>
  <si>
    <t>Malila Kosura</t>
  </si>
  <si>
    <t>UMAPORN TIRAWAT</t>
  </si>
  <si>
    <t>Anek Pattamalum</t>
  </si>
  <si>
    <t>Albrecht Delft Pagaduan</t>
  </si>
  <si>
    <t>Weerawut phabmek</t>
  </si>
  <si>
    <t>Eakkamol Intusopon</t>
  </si>
  <si>
    <t>Martin Riedinger</t>
  </si>
  <si>
    <t>Thanet Thammasrirak</t>
  </si>
  <si>
    <t>Jeeraphan Nontaka</t>
  </si>
  <si>
    <t>peerapon boonsrisod</t>
  </si>
  <si>
    <t>Thanakit Prakaiphisut</t>
  </si>
  <si>
    <t>Jitra Toim</t>
  </si>
  <si>
    <t>Samart thongdangngam</t>
  </si>
  <si>
    <t>Kittivut Kaewprasert</t>
  </si>
  <si>
    <t>Robert McConnon</t>
  </si>
  <si>
    <t>Alan  Flening</t>
  </si>
  <si>
    <t>Timothy Edwards</t>
  </si>
  <si>
    <t>JIAMJIT.T</t>
  </si>
  <si>
    <t>NARUDAPA.W</t>
  </si>
  <si>
    <t>SIRILAX.R</t>
  </si>
  <si>
    <t>MANOP.M</t>
  </si>
  <si>
    <t>JAIYASIDHA.G</t>
  </si>
  <si>
    <t>BORWORNVIDHYA.G</t>
  </si>
  <si>
    <t>KANOKRUD.G</t>
  </si>
  <si>
    <t>WEERAWAT.S</t>
  </si>
  <si>
    <t>KUNNIKA.T</t>
  </si>
  <si>
    <t>ROSSARIN.J</t>
  </si>
  <si>
    <t>NOTTHAKIT.K</t>
  </si>
  <si>
    <t>MALILA.K</t>
  </si>
  <si>
    <t>UMAPORN.T</t>
  </si>
  <si>
    <t>ANEK.P</t>
  </si>
  <si>
    <t>ALBRECHT DELFT PAGADUAN</t>
  </si>
  <si>
    <t>WEERAWUT.P</t>
  </si>
  <si>
    <t>EAKKAMOL.I</t>
  </si>
  <si>
    <t>MARTIN.R</t>
  </si>
  <si>
    <t>THANET.T</t>
  </si>
  <si>
    <t>JEERAPHAN.N</t>
  </si>
  <si>
    <t>PEERAPON.B</t>
  </si>
  <si>
    <t>THANAKIT.P</t>
  </si>
  <si>
    <t>JITRA.T</t>
  </si>
  <si>
    <t>SAMART.T</t>
  </si>
  <si>
    <t>KITTIVUT.K</t>
  </si>
  <si>
    <t>ROBERT.M</t>
  </si>
  <si>
    <t>ALAN .F</t>
  </si>
  <si>
    <t>TIMOTHY.E</t>
  </si>
  <si>
    <t>Filipino</t>
  </si>
  <si>
    <t>German</t>
  </si>
  <si>
    <t>Australia</t>
  </si>
  <si>
    <t>60 Plus</t>
  </si>
  <si>
    <t>Race</t>
  </si>
  <si>
    <t>ระยะแข่งขัน</t>
  </si>
  <si>
    <t>Male</t>
  </si>
  <si>
    <t>Female</t>
  </si>
  <si>
    <t>LGBTIQAN+</t>
  </si>
  <si>
    <t xml:space="preserve">Gender Rank : </t>
  </si>
  <si>
    <t>Over all</t>
  </si>
  <si>
    <t xml:space="preserve">Age Group </t>
  </si>
  <si>
    <t>ลำดับรวม</t>
  </si>
  <si>
    <t>ลำดับเพศ</t>
  </si>
  <si>
    <t>ลำดับช่วงอายุ</t>
  </si>
  <si>
    <t>Time</t>
  </si>
  <si>
    <t>SUMMARY TIME RESULT AND RANK "Mae Khanin Trail 2024"</t>
  </si>
  <si>
    <t>N/A</t>
  </si>
  <si>
    <t>Finisher Runner</t>
  </si>
  <si>
    <t>Check In Runner</t>
  </si>
  <si>
    <t>Check BIB Runner</t>
  </si>
  <si>
    <t xml:space="preserve">Runner Amount </t>
  </si>
  <si>
    <t>RANK</t>
  </si>
  <si>
    <t>phongsathon jeesom</t>
  </si>
  <si>
    <t>veerapong pakdeeprasert</t>
  </si>
  <si>
    <t>patthanapicji trinwatthaworn</t>
  </si>
  <si>
    <t xml:space="preserve">tawatchai lathiang </t>
  </si>
  <si>
    <t>surapong pornpradit</t>
  </si>
  <si>
    <t>thanaphat chaipoh</t>
  </si>
  <si>
    <t xml:space="preserve">TAWATCHAI LATHIANG </t>
  </si>
  <si>
    <t>SONGWUD BOAKHEM</t>
  </si>
  <si>
    <t>SURAPONG PORNPRADIT</t>
  </si>
  <si>
    <t>THANAPHAT CHAIPOH</t>
  </si>
  <si>
    <t>Saravut Chaiboonruang</t>
  </si>
  <si>
    <t>Sopha Usumani</t>
  </si>
  <si>
    <t>Udom Yavilas</t>
  </si>
  <si>
    <t>Artith Korkietsopa</t>
  </si>
  <si>
    <t>Worawut Phuengphocharoenphan</t>
  </si>
  <si>
    <t>Panupong Thawai</t>
  </si>
  <si>
    <t>Uraiwan jinapho</t>
  </si>
  <si>
    <t>Samatcha Intapai</t>
  </si>
  <si>
    <t>Seri Phuphisit</t>
  </si>
  <si>
    <t>Chankkaphun Punta</t>
  </si>
  <si>
    <t>Chotiphat Sritanawarakit</t>
  </si>
  <si>
    <t>Banchapol Dhiranetra</t>
  </si>
  <si>
    <t>Phatcharida Thaepthong</t>
  </si>
  <si>
    <t>Vincent ARQUE</t>
  </si>
  <si>
    <t>SARAVUT.C</t>
  </si>
  <si>
    <t>SOPHA.U</t>
  </si>
  <si>
    <t>UDOM.Y</t>
  </si>
  <si>
    <t>ARTITH.K</t>
  </si>
  <si>
    <t>WORAWUT.P</t>
  </si>
  <si>
    <t>PANUPONG.T</t>
  </si>
  <si>
    <t>URAIWAN.J</t>
  </si>
  <si>
    <t>SAMATCHA.I</t>
  </si>
  <si>
    <t>SERI.P</t>
  </si>
  <si>
    <t>CHANKKAPHUN.P</t>
  </si>
  <si>
    <t>CHOTIPHAT.S</t>
  </si>
  <si>
    <t>BANCHAPOL.D</t>
  </si>
  <si>
    <t>PHATCHARIDA.T</t>
  </si>
  <si>
    <t>VINCENT.A</t>
  </si>
  <si>
    <t>songwut boakhem</t>
  </si>
  <si>
    <t>nutchaya boonthum</t>
  </si>
  <si>
    <t>kamonnut suwanna</t>
  </si>
  <si>
    <t>NUTCHAYA.B</t>
  </si>
  <si>
    <t>KAMONNUT.S</t>
  </si>
  <si>
    <t>chairat teekhasaenee</t>
  </si>
  <si>
    <t>PHONGSATHON.J</t>
  </si>
  <si>
    <t xml:space="preserve">      </t>
  </si>
  <si>
    <t>blake wichtowski</t>
  </si>
  <si>
    <t>PATTHANAPICJI.T</t>
  </si>
  <si>
    <t>VEERAPONG.P</t>
  </si>
  <si>
    <t>Cut off</t>
  </si>
  <si>
    <t>Baan Pong Cross Country 2026</t>
  </si>
  <si>
    <t>Time Result :</t>
  </si>
  <si>
    <t>/</t>
  </si>
  <si>
    <t>BIB No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</si>
</sst>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:mm:ss;@"/>
    <numFmt numFmtId="166" formatCode="[$-1000000]h:mm:ss;@"/>
  </numFmts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theme="1"/>
      <name val="Free 3 of 9 Extended"/>
    </font>
    <font>
      <b/>
      <sz val="16"/>
      <color rgb="FF0000CC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0"/>
      <color rgb="FF0000CC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22"/>
      <color rgb="FF0000CC"/>
      <name val="Calibri"/>
      <family val="2"/>
      <scheme val="minor"/>
    </font>
    <font>
      <b/>
      <sz val="22"/>
      <color rgb="FF0000CC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2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36"/>
      <color theme="1"/>
      <name val="Free 3 of 9"/>
      <family val="3"/>
    </font>
    <font>
      <sz val="8"/>
      <name val="Calibri"/>
      <family val="2"/>
      <scheme val="minor"/>
    </font>
    <font>
      <b/>
      <sz val="24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0000CC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rgb="FF0000CC"/>
      <name val="Calibri"/>
      <family val="2"/>
      <scheme val="minor"/>
    </font>
    <font>
      <sz val="12"/>
      <color rgb="FF0000CC"/>
      <name val="Calibri"/>
      <family val="2"/>
      <scheme val="minor"/>
    </font>
    <font>
      <b/>
      <sz val="28"/>
      <color rgb="FF0000CC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8" fillId="0" borderId="0"/>
  </cellStyleXfs>
  <cellXfs count="2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left" vertical="center"/>
    </xf>
    <xf numFmtId="0" fontId="3" fillId="0" borderId="0" xfId="0" applyFont="1"/>
    <xf numFmtId="164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2" borderId="0" xfId="0" applyFont="1" applyFill="1"/>
    <xf numFmtId="164" fontId="7" fillId="0" borderId="0" xfId="0" applyNumberFormat="1" applyFont="1"/>
    <xf numFmtId="164" fontId="9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3" borderId="0" xfId="0" applyFill="1"/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64" fontId="10" fillId="0" borderId="0" xfId="0" applyNumberFormat="1" applyFont="1" applyAlignment="1">
      <alignment horizontal="center"/>
    </xf>
    <xf numFmtId="164" fontId="4" fillId="0" borderId="0" xfId="0" applyNumberFormat="1" applyFont="1"/>
    <xf numFmtId="164" fontId="0" fillId="3" borderId="0" xfId="0" applyNumberFormat="1" applyFill="1"/>
    <xf numFmtId="0" fontId="5" fillId="0" borderId="0" xfId="0" quotePrefix="1" applyFont="1"/>
    <xf numFmtId="164" fontId="6" fillId="2" borderId="10" xfId="0" applyNumberFormat="1" applyFont="1" applyFill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4" fontId="12" fillId="0" borderId="0" xfId="0" applyNumberFormat="1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1" xfId="0" applyBorder="1"/>
    <xf numFmtId="0" fontId="0" fillId="0" borderId="7" xfId="0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vertical="center"/>
    </xf>
    <xf numFmtId="0" fontId="20" fillId="0" borderId="0" xfId="0" applyFont="1"/>
    <xf numFmtId="0" fontId="16" fillId="2" borderId="3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164" fontId="16" fillId="3" borderId="3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4" fontId="21" fillId="5" borderId="2" xfId="0" applyNumberFormat="1" applyFont="1" applyFill="1" applyBorder="1" applyAlignment="1">
      <alignment horizontal="center" vertical="center"/>
    </xf>
    <xf numFmtId="164" fontId="22" fillId="5" borderId="3" xfId="0" applyNumberFormat="1" applyFont="1" applyFill="1" applyBorder="1" applyAlignment="1">
      <alignment horizontal="center" vertical="center"/>
    </xf>
    <xf numFmtId="164" fontId="23" fillId="5" borderId="1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5" fillId="0" borderId="0" xfId="0" applyFont="1"/>
    <xf numFmtId="0" fontId="26" fillId="0" borderId="0" xfId="0" applyFont="1"/>
    <xf numFmtId="0" fontId="0" fillId="0" borderId="1" xfId="0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16" fillId="0" borderId="0" xfId="0" applyFo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9" fillId="2" borderId="13" xfId="0" applyFont="1" applyFill="1" applyBorder="1" applyAlignment="1">
      <alignment horizontal="center" vertical="center"/>
    </xf>
    <xf numFmtId="0" fontId="29" fillId="5" borderId="13" xfId="0" applyFont="1" applyFill="1" applyBorder="1" applyAlignment="1">
      <alignment horizontal="center" vertical="center"/>
    </xf>
    <xf numFmtId="164" fontId="30" fillId="2" borderId="13" xfId="0" applyNumberFormat="1" applyFont="1" applyFill="1" applyBorder="1" applyAlignment="1">
      <alignment horizontal="center"/>
    </xf>
    <xf numFmtId="0" fontId="30" fillId="2" borderId="0" xfId="0" applyFont="1" applyFill="1"/>
    <xf numFmtId="0" fontId="6" fillId="2" borderId="10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9" fillId="2" borderId="20" xfId="0" applyFont="1" applyFill="1" applyBorder="1" applyAlignment="1">
      <alignment horizontal="center"/>
    </xf>
    <xf numFmtId="0" fontId="29" fillId="2" borderId="13" xfId="0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 vertical="center"/>
    </xf>
    <xf numFmtId="166" fontId="16" fillId="0" borderId="0" xfId="0" applyNumberFormat="1" applyFont="1"/>
    <xf numFmtId="0" fontId="5" fillId="0" borderId="2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2" fillId="6" borderId="6" xfId="0" applyFont="1" applyFill="1" applyBorder="1" applyAlignment="1">
      <alignment vertical="center"/>
    </xf>
    <xf numFmtId="0" fontId="32" fillId="6" borderId="7" xfId="0" applyFont="1" applyFill="1" applyBorder="1" applyAlignment="1">
      <alignment vertical="center"/>
    </xf>
    <xf numFmtId="0" fontId="32" fillId="6" borderId="3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5" fillId="0" borderId="22" xfId="0" applyFont="1" applyBorder="1" applyAlignment="1">
      <alignment horizontal="left" vertical="center"/>
    </xf>
    <xf numFmtId="0" fontId="33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165" fontId="5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19" fillId="0" borderId="3" xfId="0" applyNumberFormat="1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25" xfId="0" applyFont="1" applyBorder="1" applyAlignment="1">
      <alignment horizontal="left" vertical="center"/>
    </xf>
    <xf numFmtId="165" fontId="2" fillId="0" borderId="25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8" xfId="0" applyFont="1" applyBorder="1"/>
    <xf numFmtId="165" fontId="35" fillId="4" borderId="0" xfId="0" applyNumberFormat="1" applyFont="1" applyFill="1" applyAlignment="1">
      <alignment horizontal="center" vertical="center"/>
    </xf>
    <xf numFmtId="165" fontId="35" fillId="4" borderId="17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36" fillId="3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center"/>
    </xf>
    <xf numFmtId="0" fontId="37" fillId="0" borderId="0" xfId="0" applyFont="1" applyAlignment="1">
      <alignment horizontal="center" vertical="center"/>
    </xf>
    <xf numFmtId="0" fontId="29" fillId="0" borderId="0" xfId="0" applyFont="1"/>
    <xf numFmtId="0" fontId="38" fillId="0" borderId="0" xfId="0" applyFont="1" applyAlignment="1">
      <alignment horizontal="center" vertical="center"/>
    </xf>
    <xf numFmtId="0" fontId="4" fillId="5" borderId="0" xfId="0" applyFont="1" applyFill="1"/>
    <xf numFmtId="0" fontId="5" fillId="0" borderId="29" xfId="0" applyFont="1" applyBorder="1" applyAlignment="1">
      <alignment horizontal="left" vertical="center"/>
    </xf>
    <xf numFmtId="0" fontId="15" fillId="5" borderId="17" xfId="0" applyFont="1" applyFill="1" applyBorder="1"/>
    <xf numFmtId="0" fontId="39" fillId="5" borderId="2" xfId="0" applyFont="1" applyFill="1" applyBorder="1" applyAlignment="1">
      <alignment horizontal="center"/>
    </xf>
    <xf numFmtId="0" fontId="40" fillId="5" borderId="18" xfId="0" applyFont="1" applyFill="1" applyBorder="1" applyAlignment="1">
      <alignment horizontal="center"/>
    </xf>
    <xf numFmtId="0" fontId="41" fillId="5" borderId="12" xfId="0" applyFont="1" applyFill="1" applyBorder="1" applyAlignment="1">
      <alignment horizontal="center" vertical="center"/>
    </xf>
    <xf numFmtId="0" fontId="39" fillId="5" borderId="30" xfId="0" applyFont="1" applyFill="1" applyBorder="1" applyAlignment="1">
      <alignment horizontal="center"/>
    </xf>
    <xf numFmtId="0" fontId="40" fillId="5" borderId="16" xfId="0" applyFont="1" applyFill="1" applyBorder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31" fillId="4" borderId="13" xfId="0" applyFont="1" applyFill="1" applyBorder="1" applyAlignment="1">
      <alignment horizontal="center"/>
    </xf>
    <xf numFmtId="0" fontId="0" fillId="0" borderId="18" xfId="0" applyBorder="1"/>
    <xf numFmtId="0" fontId="4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3" fillId="0" borderId="31" xfId="0" applyFont="1" applyBorder="1" applyAlignment="1">
      <alignment vertical="center"/>
    </xf>
    <xf numFmtId="0" fontId="13" fillId="0" borderId="32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vertical="center"/>
    </xf>
    <xf numFmtId="0" fontId="42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vertical="center"/>
    </xf>
    <xf numFmtId="0" fontId="0" fillId="0" borderId="37" xfId="0" applyBorder="1"/>
    <xf numFmtId="0" fontId="42" fillId="0" borderId="25" xfId="0" applyFont="1" applyBorder="1" applyAlignment="1">
      <alignment horizontal="center" vertical="center"/>
    </xf>
    <xf numFmtId="0" fontId="42" fillId="0" borderId="38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" fillId="0" borderId="34" xfId="0" applyFont="1" applyBorder="1"/>
    <xf numFmtId="0" fontId="1" fillId="0" borderId="36" xfId="0" applyFont="1" applyBorder="1"/>
    <xf numFmtId="0" fontId="13" fillId="0" borderId="31" xfId="0" applyFont="1" applyBorder="1" applyAlignment="1">
      <alignment horizontal="left"/>
    </xf>
    <xf numFmtId="0" fontId="13" fillId="0" borderId="31" xfId="0" applyFont="1" applyBorder="1"/>
    <xf numFmtId="0" fontId="23" fillId="0" borderId="0" xfId="0" applyFont="1"/>
    <xf numFmtId="0" fontId="43" fillId="7" borderId="39" xfId="0" applyFont="1" applyFill="1" applyBorder="1"/>
    <xf numFmtId="0" fontId="44" fillId="7" borderId="40" xfId="0" applyFont="1" applyFill="1" applyBorder="1"/>
    <xf numFmtId="0" fontId="44" fillId="7" borderId="19" xfId="0" applyFont="1" applyFill="1" applyBorder="1"/>
    <xf numFmtId="0" fontId="43" fillId="7" borderId="41" xfId="0" applyFont="1" applyFill="1" applyBorder="1" applyAlignment="1">
      <alignment horizontal="left"/>
    </xf>
    <xf numFmtId="0" fontId="43" fillId="7" borderId="28" xfId="0" applyFont="1" applyFill="1" applyBorder="1" applyAlignment="1">
      <alignment horizontal="center"/>
    </xf>
    <xf numFmtId="0" fontId="45" fillId="7" borderId="28" xfId="0" applyFont="1" applyFill="1" applyBorder="1"/>
    <xf numFmtId="0" fontId="45" fillId="7" borderId="20" xfId="0" applyFont="1" applyFill="1" applyBorder="1"/>
    <xf numFmtId="0" fontId="44" fillId="8" borderId="39" xfId="0" applyFont="1" applyFill="1" applyBorder="1"/>
    <xf numFmtId="0" fontId="44" fillId="8" borderId="40" xfId="0" applyFont="1" applyFill="1" applyBorder="1"/>
    <xf numFmtId="0" fontId="44" fillId="8" borderId="19" xfId="0" applyFont="1" applyFill="1" applyBorder="1"/>
    <xf numFmtId="0" fontId="43" fillId="8" borderId="41" xfId="0" applyFont="1" applyFill="1" applyBorder="1"/>
    <xf numFmtId="0" fontId="43" fillId="8" borderId="28" xfId="0" applyFont="1" applyFill="1" applyBorder="1" applyAlignment="1">
      <alignment horizontal="center"/>
    </xf>
    <xf numFmtId="0" fontId="45" fillId="8" borderId="28" xfId="0" applyFont="1" applyFill="1" applyBorder="1"/>
    <xf numFmtId="0" fontId="45" fillId="8" borderId="20" xfId="0" applyFont="1" applyFill="1" applyBorder="1"/>
    <xf numFmtId="0" fontId="43" fillId="7" borderId="0" xfId="0" applyFont="1" applyFill="1"/>
    <xf numFmtId="0" fontId="44" fillId="7" borderId="0" xfId="0" applyFont="1" applyFill="1"/>
    <xf numFmtId="0" fontId="43" fillId="7" borderId="0" xfId="0" applyFont="1" applyFill="1" applyAlignment="1">
      <alignment horizontal="left"/>
    </xf>
    <xf numFmtId="0" fontId="43" fillId="7" borderId="0" xfId="0" applyFont="1" applyFill="1" applyAlignment="1">
      <alignment horizontal="center"/>
    </xf>
    <xf numFmtId="0" fontId="45" fillId="7" borderId="0" xfId="0" applyFont="1" applyFill="1"/>
    <xf numFmtId="0" fontId="29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5" fillId="9" borderId="6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 vertical="center"/>
    </xf>
    <xf numFmtId="0" fontId="2" fillId="9" borderId="7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5" fillId="9" borderId="26" xfId="0" applyFont="1" applyFill="1" applyBorder="1" applyAlignment="1">
      <alignment horizontal="center" vertical="center"/>
    </xf>
    <xf numFmtId="0" fontId="33" fillId="9" borderId="25" xfId="0" applyFont="1" applyFill="1" applyBorder="1" applyAlignment="1">
      <alignment horizontal="center"/>
    </xf>
    <xf numFmtId="0" fontId="2" fillId="9" borderId="25" xfId="0" applyFont="1" applyFill="1" applyBorder="1" applyAlignment="1">
      <alignment horizontal="left" vertical="center"/>
    </xf>
    <xf numFmtId="0" fontId="2" fillId="9" borderId="27" xfId="0" applyFont="1" applyFill="1" applyBorder="1" applyAlignment="1">
      <alignment horizontal="left" vertical="center"/>
    </xf>
    <xf numFmtId="0" fontId="2" fillId="9" borderId="25" xfId="0" applyFont="1" applyFill="1" applyBorder="1" applyAlignment="1">
      <alignment horizontal="center" vertical="center"/>
    </xf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11" fillId="5" borderId="11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left" vertical="center"/>
    </xf>
    <xf numFmtId="0" fontId="41" fillId="5" borderId="11" xfId="0" applyFont="1" applyFill="1" applyBorder="1" applyAlignment="1">
      <alignment horizontal="center" vertical="center"/>
    </xf>
    <xf numFmtId="0" fontId="11" fillId="5" borderId="43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164" fontId="9" fillId="0" borderId="13" xfId="0" applyNumberFormat="1" applyFont="1" applyBorder="1" applyAlignment="1">
      <alignment horizontal="center" vertical="center"/>
    </xf>
    <xf numFmtId="165" fontId="35" fillId="4" borderId="28" xfId="0" applyNumberFormat="1" applyFont="1" applyFill="1" applyBorder="1" applyAlignment="1">
      <alignment horizontal="center" vertical="center"/>
    </xf>
    <xf numFmtId="0" fontId="41" fillId="5" borderId="43" xfId="0" applyFont="1" applyFill="1" applyBorder="1" applyAlignment="1">
      <alignment horizontal="center" vertical="center"/>
    </xf>
    <xf numFmtId="0" fontId="0" fillId="0" borderId="28" xfId="0" applyBorder="1"/>
    <xf numFmtId="0" fontId="8" fillId="0" borderId="28" xfId="0" applyFont="1" applyBorder="1"/>
    <xf numFmtId="14" fontId="0" fillId="0" borderId="1" xfId="0" applyNumberFormat="1" applyBorder="1"/>
    <xf numFmtId="166" fontId="16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32" fillId="6" borderId="2" xfId="0" applyFont="1" applyFill="1" applyBorder="1" applyAlignment="1">
      <alignment horizontal="center" vertical="center" wrapText="1"/>
    </xf>
    <xf numFmtId="0" fontId="32" fillId="6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5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FF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117234</xdr:colOff>
      <xdr:row>18</xdr:row>
      <xdr:rowOff>10118</xdr:rowOff>
    </xdr:from>
    <xdr:to>
      <xdr:col>5</xdr:col>
      <xdr:colOff>123092</xdr:colOff>
      <xdr:row>21</xdr:row>
      <xdr:rowOff>30773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982CE3-1471-4BD1-9FE4-6E19586D7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619" y="3310164"/>
          <a:ext cx="914396" cy="565778"/>
        </a:xfrm>
        <a:prstGeom prst="rect">
          <a:avLst/>
        </a:prstGeom>
      </xdr:spPr>
    </xdr:pic>
    <xdr:clientData/>
  </xdr:twoCellAnchor>
  <xdr:twoCellAnchor editAs="oneCell">
    <xdr:from>
      <xdr:col>0</xdr:col>
      <xdr:colOff>146542</xdr:colOff>
      <xdr:row>0</xdr:row>
      <xdr:rowOff>11717</xdr:rowOff>
    </xdr:from>
    <xdr:to>
      <xdr:col>5</xdr:col>
      <xdr:colOff>486510</xdr:colOff>
      <xdr:row>3</xdr:row>
      <xdr:rowOff>158724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0BCAFF-945C-4E6A-0A6E-178E12AAB5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69" b="29752"/>
        <a:stretch>
          <a:fillRect/>
        </a:stretch>
      </xdr:blipFill>
      <xdr:spPr>
        <a:xfrm>
          <a:off x="146542" y="11717"/>
          <a:ext cx="1570891" cy="709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2"/>
  <sheetViews>
    <sheetView showGridLines="0" tabSelected="1" zoomScale="130" zoomScaleNormal="130" zoomScaleSheetLayoutView="90" workbookViewId="0">
      <selection activeCell="I3" sqref="I3"/>
    </sheetView>
  </sheetViews>
  <sheetFormatPr defaultRowHeight="14.4"/>
  <cols>
    <col min="1" max="3" width="4.6640625" customWidth="1"/>
    <col min="4" max="4" width="2.44140625" customWidth="1"/>
    <col min="5" max="5" width="1.33203125" customWidth="1"/>
    <col min="6" max="6" width="9" customWidth="1"/>
    <col min="11" max="11" width="8.88671875" customWidth="1"/>
  </cols>
  <sheetData>
    <row r="2" spans="1:11" ht="15.6">
      <c r="K2" s="42"/>
    </row>
    <row r="5" spans="1:11" ht="15" customHeight="1">
      <c r="A5" s="219" t="s">
        <v>344</v>
      </c>
      <c r="B5" s="219"/>
      <c r="C5" s="219"/>
      <c r="D5" s="219"/>
      <c r="E5" s="219"/>
      <c r="F5" s="219"/>
    </row>
    <row r="6" spans="1:11">
      <c r="A6" s="62"/>
      <c r="C6" s="63" t="s">
        <v>347</v>
      </c>
      <c r="D6" s="220">
        <v>3381</v>
      </c>
      <c r="E6" s="220"/>
      <c r="F6" s="220"/>
    </row>
    <row r="7" spans="1:11">
      <c r="A7" s="62"/>
      <c r="C7" s="63" t="s">
        <v>15</v>
      </c>
      <c r="D7" s="64" t="str">
        <f>IFERROR(VLOOKUP($D$6,'(3)Summary Finished'!$B$4:$O$195,3,FALSE),0)</f>
        <v>JANTARABOON.K</v>
      </c>
      <c r="E7" s="99"/>
      <c r="F7" s="99"/>
    </row>
    <row r="8" spans="1:11">
      <c r="A8" s="62"/>
      <c r="C8" s="63" t="s">
        <v>36</v>
      </c>
      <c r="D8" s="64" t="str">
        <f>IFERROR(VLOOKUP($D$6,'(3)Summary Finished'!$B$4:$O$195,4,FALSE),0)</f>
        <v>Male</v>
      </c>
      <c r="E8" s="62"/>
      <c r="F8" s="62"/>
    </row>
    <row r="9" spans="1:11">
      <c r="A9" s="62"/>
      <c r="C9" s="63" t="s">
        <v>45</v>
      </c>
      <c r="D9" s="64" t="str">
        <f>IFERROR(VLOOKUP($D$6,'(3)Summary Finished'!$B$4:$O$195,5,FALSE),0)</f>
        <v>20-39</v>
      </c>
      <c r="E9" s="62"/>
      <c r="F9" s="62"/>
    </row>
    <row r="10" spans="1:11">
      <c r="A10" s="62"/>
      <c r="C10" s="63" t="s">
        <v>34</v>
      </c>
      <c r="D10" s="218" t="str">
        <f>IFERROR(VLOOKUP($D$6,'(3)Summary Finished'!$B$4:$O$195,7,FALSE),0)</f>
        <v>MKT33</v>
      </c>
      <c r="E10" s="218"/>
      <c r="F10" s="218"/>
    </row>
    <row r="11" spans="1:11">
      <c r="A11" s="62"/>
      <c r="C11" s="63" t="s">
        <v>16</v>
      </c>
      <c r="D11" s="218">
        <f ca="1">IFERROR(VLOOKUP($D$6,'(3)Summary Finished'!$B$4:$O$201,8,FALSE),0)</f>
        <v>45550.227961226854</v>
      </c>
      <c r="E11" s="218"/>
      <c r="F11" s="218"/>
      <c r="I11" s="2"/>
    </row>
    <row r="12" spans="1:11">
      <c r="A12" s="62"/>
      <c r="C12" s="63" t="s">
        <v>44</v>
      </c>
      <c r="D12" s="218">
        <f>IFERROR(VLOOKUP($D$6,'(3)Summary Finished'!$B$4:$O$195,9,FALSE),0)</f>
        <v>0.22916666666666666</v>
      </c>
      <c r="E12" s="218"/>
      <c r="F12" s="218"/>
    </row>
    <row r="13" spans="1:11">
      <c r="A13" s="62"/>
      <c r="C13" s="63" t="s">
        <v>41</v>
      </c>
      <c r="D13" s="218">
        <f ca="1">IFERROR(VLOOKUP($D$6,'(3)Summary Finished'!$B$4:$O$195,10,FALSE),0)</f>
        <v>45550.369877199075</v>
      </c>
      <c r="E13" s="218"/>
      <c r="F13" s="218"/>
    </row>
    <row r="14" spans="1:11">
      <c r="A14" s="62"/>
      <c r="C14" s="63" t="s">
        <v>345</v>
      </c>
      <c r="D14" s="218">
        <f ca="1">D13-D12</f>
        <v>45550.140710532411</v>
      </c>
      <c r="E14" s="218" t="str">
        <f>IFERROR(VLOOKUP($D$6,'(3)Summary Finished'!$B$4:$J$158,3,FALSE),0)</f>
        <v>JANTARABOON.K</v>
      </c>
      <c r="F14" s="218" t="str">
        <f>IFERROR(VLOOKUP($D$6,'(3)Summary Finished'!$B$4:$J$158,3,FALSE),0)</f>
        <v>JANTARABOON.K</v>
      </c>
    </row>
    <row r="15" spans="1:11">
      <c r="A15" s="62"/>
      <c r="C15" s="63" t="s">
        <v>43</v>
      </c>
      <c r="D15" s="63">
        <f>IFERROR(VLOOKUP($D$6,'(3)Summary Finished'!$B$4:$O$198,12,FALSE),0)</f>
        <v>1</v>
      </c>
      <c r="E15" s="77" t="s">
        <v>346</v>
      </c>
      <c r="F15" s="64"/>
    </row>
    <row r="16" spans="1:11">
      <c r="A16" s="62"/>
      <c r="C16" s="63" t="s">
        <v>280</v>
      </c>
      <c r="D16" s="63">
        <f>IFERROR(VLOOKUP($D$6,'(3)Summary Finished'!$B$4:$O$198,13,FALSE),0)</f>
        <v>1</v>
      </c>
      <c r="E16" s="77" t="s">
        <v>346</v>
      </c>
      <c r="F16" s="64"/>
    </row>
    <row r="17" spans="1:6">
      <c r="A17" s="62"/>
      <c r="C17" s="63" t="s">
        <v>42</v>
      </c>
      <c r="D17" s="63">
        <f>IFERROR(VLOOKUP($D$6,'(3)Summary Finished'!$B$4:$O$198,14,FALSE),0)</f>
        <v>1</v>
      </c>
      <c r="E17" s="77" t="s">
        <v>346</v>
      </c>
      <c r="F17" s="64"/>
    </row>
    <row r="18" spans="1:6">
      <c r="A18" s="65" t="s">
        <v>17</v>
      </c>
      <c r="C18" s="62"/>
      <c r="D18" s="62"/>
      <c r="E18" s="62"/>
      <c r="F18" s="62"/>
    </row>
    <row r="19" spans="1:6">
      <c r="C19" s="62"/>
      <c r="D19" s="62"/>
      <c r="E19" s="62"/>
      <c r="F19" s="62"/>
    </row>
    <row r="20" spans="1:6">
      <c r="A20" s="62"/>
    </row>
    <row r="22" spans="1:6">
      <c r="A22" s="65" t="s">
        <v>18</v>
      </c>
    </row>
  </sheetData>
  <mergeCells count="7">
    <mergeCell ref="D14:F14"/>
    <mergeCell ref="D10:F10"/>
    <mergeCell ref="A5:F5"/>
    <mergeCell ref="D6:F6"/>
    <mergeCell ref="D13:F13"/>
    <mergeCell ref="D12:F12"/>
    <mergeCell ref="D11:F11"/>
  </mergeCells>
  <printOptions horizontalCentered="1"/>
  <pageMargins left="0.15" right="0.18" top="0.28999999999999998" bottom="0.28999999999999998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CC"/>
  </sheetPr>
  <dimension ref="A1:AA201"/>
  <sheetViews>
    <sheetView showGridLines="0" zoomScale="50" zoomScaleNormal="50" zoomScaleSheetLayoutView="40" workbookViewId="0">
      <pane xSplit="8" ySplit="3" topLeftCell="I4" activePane="bottomRight" state="frozen"/>
      <selection pane="topRight" activeCell="H1" sqref="H1"/>
      <selection pane="bottomLeft" activeCell="A4" sqref="A4"/>
      <selection pane="bottomRight" activeCell="N7" sqref="N7"/>
    </sheetView>
  </sheetViews>
  <sheetFormatPr defaultRowHeight="28.8"/>
  <cols>
    <col min="1" max="1" width="9.44140625" style="1" customWidth="1"/>
    <col min="2" max="2" width="31" style="18" bestFit="1" customWidth="1"/>
    <col min="3" max="3" width="48.6640625" style="11" bestFit="1" customWidth="1"/>
    <col min="4" max="4" width="23.6640625" style="11" customWidth="1"/>
    <col min="5" max="5" width="15.44140625" bestFit="1" customWidth="1"/>
    <col min="6" max="6" width="15.44140625" customWidth="1"/>
    <col min="7" max="7" width="19.6640625" bestFit="1" customWidth="1"/>
    <col min="8" max="8" width="24.33203125" bestFit="1" customWidth="1"/>
    <col min="9" max="9" width="29.5546875" style="14" bestFit="1" customWidth="1"/>
    <col min="10" max="10" width="20.88671875" style="14" bestFit="1" customWidth="1"/>
    <col min="11" max="11" width="28.6640625" style="15" bestFit="1" customWidth="1"/>
    <col min="12" max="12" width="19" style="59" bestFit="1" customWidth="1"/>
    <col min="13" max="14" width="18.6640625" style="116" bestFit="1" customWidth="1"/>
    <col min="15" max="15" width="22.5546875" style="116" bestFit="1" customWidth="1"/>
    <col min="19" max="19" width="21.5546875" bestFit="1" customWidth="1"/>
    <col min="21" max="21" width="11" bestFit="1" customWidth="1"/>
    <col min="23" max="23" width="10.109375" bestFit="1" customWidth="1"/>
    <col min="24" max="24" width="21.44140625" bestFit="1" customWidth="1"/>
    <col min="26" max="26" width="11" bestFit="1" customWidth="1"/>
  </cols>
  <sheetData>
    <row r="1" spans="1:27" s="4" customFormat="1" ht="29.4" thickBot="1">
      <c r="A1" s="32" t="s">
        <v>287</v>
      </c>
      <c r="B1" s="17"/>
      <c r="C1" s="9"/>
      <c r="D1" s="9"/>
      <c r="I1" s="13"/>
      <c r="J1" s="13"/>
      <c r="K1" s="30"/>
      <c r="L1" s="58"/>
      <c r="M1" s="139" t="s">
        <v>293</v>
      </c>
      <c r="N1" s="137"/>
      <c r="O1" s="139"/>
      <c r="S1" s="166" t="s">
        <v>289</v>
      </c>
    </row>
    <row r="2" spans="1:27" s="12" customFormat="1" ht="21" customHeight="1">
      <c r="A2" s="27" t="s">
        <v>4</v>
      </c>
      <c r="B2" s="53" t="s">
        <v>3</v>
      </c>
      <c r="C2" s="70" t="s">
        <v>32</v>
      </c>
      <c r="D2" s="70" t="s">
        <v>25</v>
      </c>
      <c r="E2" s="27" t="s">
        <v>35</v>
      </c>
      <c r="F2" s="27" t="s">
        <v>6</v>
      </c>
      <c r="G2" s="72" t="s">
        <v>23</v>
      </c>
      <c r="H2" s="27" t="s">
        <v>30</v>
      </c>
      <c r="I2" s="23" t="s">
        <v>8</v>
      </c>
      <c r="J2" s="23" t="s">
        <v>13</v>
      </c>
      <c r="K2" s="23" t="s">
        <v>10</v>
      </c>
      <c r="L2" s="145" t="s">
        <v>286</v>
      </c>
      <c r="M2" s="143" t="s">
        <v>281</v>
      </c>
      <c r="N2" s="140" t="s">
        <v>35</v>
      </c>
      <c r="O2" s="140" t="s">
        <v>282</v>
      </c>
      <c r="S2" s="181"/>
      <c r="T2" s="182"/>
      <c r="U2" s="182"/>
      <c r="V2" s="182"/>
      <c r="X2" s="174"/>
      <c r="Y2" s="175"/>
      <c r="Z2" s="175"/>
      <c r="AA2" s="176"/>
    </row>
    <row r="3" spans="1:27" s="69" customFormat="1" ht="21" customHeight="1" thickBot="1">
      <c r="A3" s="66" t="s">
        <v>0</v>
      </c>
      <c r="B3" s="67" t="s">
        <v>2</v>
      </c>
      <c r="C3" s="71" t="s">
        <v>33</v>
      </c>
      <c r="D3" s="71" t="s">
        <v>26</v>
      </c>
      <c r="E3" s="66" t="s">
        <v>1</v>
      </c>
      <c r="F3" s="75" t="s">
        <v>7</v>
      </c>
      <c r="G3" s="74" t="s">
        <v>27</v>
      </c>
      <c r="H3" s="66" t="s">
        <v>31</v>
      </c>
      <c r="I3" s="68" t="s">
        <v>9</v>
      </c>
      <c r="J3" s="68" t="s">
        <v>14</v>
      </c>
      <c r="K3" s="68" t="s">
        <v>11</v>
      </c>
      <c r="L3" s="146" t="s">
        <v>12</v>
      </c>
      <c r="M3" s="144" t="s">
        <v>283</v>
      </c>
      <c r="N3" s="141" t="s">
        <v>284</v>
      </c>
      <c r="O3" s="141" t="s">
        <v>285</v>
      </c>
      <c r="S3" s="183" t="s">
        <v>205</v>
      </c>
      <c r="T3" s="184">
        <f>COUNTIF($H$4:$H$198,"MKT33")</f>
        <v>66</v>
      </c>
      <c r="U3" s="185"/>
      <c r="V3" s="185"/>
      <c r="X3" s="177" t="s">
        <v>46</v>
      </c>
      <c r="Y3" s="178">
        <f>COUNTIF($H$4:$H$198,"MKT50")</f>
        <v>34</v>
      </c>
      <c r="Z3" s="179"/>
      <c r="AA3" s="180"/>
    </row>
    <row r="4" spans="1:27" ht="36" customHeight="1">
      <c r="A4" s="28">
        <v>1</v>
      </c>
      <c r="B4" s="80">
        <v>3381</v>
      </c>
      <c r="C4" s="100" t="str">
        <f>IFERROR(VLOOKUP(B4,'Runner List'!$B$3:$O$505,5,FALSE),0)</f>
        <v>JANTARABOON KIANGCHAIPAIPHANA</v>
      </c>
      <c r="D4" s="138" t="str">
        <f>IFERROR(VLOOKUP(B4,'Runner List'!$B$3:$O$505,6,FALSE),0)</f>
        <v>JANTARABOON.K</v>
      </c>
      <c r="E4" s="73" t="str">
        <f>IFERROR(VLOOKUP(B4,'Runner List'!$B$3:$O$505,7,FALSE),0)</f>
        <v>Male</v>
      </c>
      <c r="F4" s="73" t="str">
        <f>IFERROR(VLOOKUP(B4,'Runner List'!$B$3:$O$505,8,FALSE),0)</f>
        <v>20-39</v>
      </c>
      <c r="G4" s="78" t="str">
        <f>IFERROR(VLOOKUP(B4,'Runner List'!$B$3:$O$505,9,FALSE),0)</f>
        <v>Thai</v>
      </c>
      <c r="H4" s="79" t="str">
        <f>IFERROR(VLOOKUP(B4,'Runner List'!$B$3:$O$505,10,FALSE),0)</f>
        <v>MKT33</v>
      </c>
      <c r="I4" s="24">
        <f ca="1">IFERROR(VLOOKUP(B4,'(2)Check In'!$B$4:$I$418,7,FALSE),0)</f>
        <v>45550.227961226854</v>
      </c>
      <c r="J4" s="24">
        <f>IFERROR(VLOOKUP(B4,'(2)Check In'!$B$4:$I$848,8,FALSE),0)</f>
        <v>0.22916666666666666</v>
      </c>
      <c r="K4" s="24">
        <f t="shared" ref="K4:K34" ca="1" si="0">IF(B4="","",IF(K4="",NOW(),K4))</f>
        <v>45550.369877199075</v>
      </c>
      <c r="L4" s="127">
        <f ca="1">K4-J4</f>
        <v>45550.140710532411</v>
      </c>
      <c r="M4" s="142">
        <f>COUNTIFS($H$3:H4,H4)</f>
        <v>1</v>
      </c>
      <c r="N4" s="142">
        <f>COUNTIFS(F$3:$F4,F4,H$3:$H4,H4,E$3:$E4,E4)</f>
        <v>1</v>
      </c>
      <c r="O4" s="142">
        <f>COUNTIFS($F$3:F4,F4,$H$3:H4,H4)</f>
        <v>1</v>
      </c>
      <c r="S4" s="151" t="s">
        <v>277</v>
      </c>
      <c r="T4" s="152">
        <f>COUNTIFS($H$4:$H$198,"MKT33",$E$4:$E$198,"Male")</f>
        <v>42</v>
      </c>
      <c r="U4" s="153" t="s">
        <v>198</v>
      </c>
      <c r="V4" s="154">
        <f>COUNTIFS($H$4:$H$198,"MKT33",$E$4:$E$198,"Male",$F$4:$F$198,"20-39")</f>
        <v>18</v>
      </c>
      <c r="X4" s="165" t="s">
        <v>277</v>
      </c>
      <c r="Y4" s="152">
        <f>COUNTIFS($H$4:$H$198,"MKT50",$E$4:$E$198,"Male")</f>
        <v>25</v>
      </c>
      <c r="Z4" s="153" t="s">
        <v>198</v>
      </c>
      <c r="AA4" s="154">
        <f>COUNTIFS($H$4:$H$198,"MKT50",$E$4:$E$198,"Male",$F$4:$F$198,"20-39")</f>
        <v>3</v>
      </c>
    </row>
    <row r="5" spans="1:27" ht="36" customHeight="1">
      <c r="A5" s="29">
        <v>2</v>
      </c>
      <c r="B5" s="81">
        <v>3399</v>
      </c>
      <c r="C5" s="61" t="str">
        <f>IFERROR(VLOOKUP(B5,'Runner List'!$B$3:$O$505,5,FALSE),0)</f>
        <v>KAMONNUT SUWANNA</v>
      </c>
      <c r="D5" s="129" t="str">
        <f>IFERROR(VLOOKUP(B5,'Runner List'!$B$3:$O$505,6,FALSE),0)</f>
        <v>KAMONNUT.S</v>
      </c>
      <c r="E5" s="8" t="str">
        <f>IFERROR(VLOOKUP(B5,'Runner List'!$B$3:$O$505,7,FALSE),0)</f>
        <v>Male</v>
      </c>
      <c r="F5" s="25" t="str">
        <f>IFERROR(VLOOKUP(B5,'Runner List'!$B$3:$O$505,8,FALSE),0)</f>
        <v>20-39</v>
      </c>
      <c r="G5" s="26" t="str">
        <f>IFERROR(VLOOKUP(B5,'Runner List'!$B$3:$O$505,9,FALSE),0)</f>
        <v>Thai</v>
      </c>
      <c r="H5" s="25" t="str">
        <f>IFERROR(VLOOKUP(B5,'Runner List'!$B$3:$O$505,10,FALSE),0)</f>
        <v>MKT33</v>
      </c>
      <c r="I5" s="24">
        <f ca="1">IFERROR(VLOOKUP(B5,'(2)Check In'!$B$4:$I$848,7,FALSE),0)</f>
        <v>45550.229630092595</v>
      </c>
      <c r="J5" s="24">
        <f>IFERROR(VLOOKUP(B5,'(2)Check In'!$B$4:$I$848,8,FALSE),0)</f>
        <v>0.22916666666666666</v>
      </c>
      <c r="K5" s="24">
        <f t="shared" ca="1" si="0"/>
        <v>45550.410050578706</v>
      </c>
      <c r="L5" s="127">
        <f t="shared" ref="L5:L67" ca="1" si="1">K5-J5</f>
        <v>45550.180883912042</v>
      </c>
      <c r="M5" s="142">
        <f>COUNTIFS($H$3:H5,H5)</f>
        <v>2</v>
      </c>
      <c r="N5" s="142">
        <f>COUNTIFS(F$3:$F5,F5,H$3:$H5,H5,E$3:$E5,E5)</f>
        <v>2</v>
      </c>
      <c r="O5" s="142">
        <f>COUNTIFS($F$3:F5,F5,$H$3:H5,H5)</f>
        <v>2</v>
      </c>
      <c r="S5" s="155"/>
      <c r="T5" s="147"/>
      <c r="U5" s="148" t="s">
        <v>196</v>
      </c>
      <c r="V5" s="156">
        <f>COUNTIFS($H$4:$H$198,"MKT33",$E$4:$E$198,"Male",$F$4:$F$198,"40-49")</f>
        <v>11</v>
      </c>
      <c r="X5" s="162"/>
      <c r="Y5" s="147"/>
      <c r="Z5" s="148" t="s">
        <v>196</v>
      </c>
      <c r="AA5" s="156">
        <f>COUNTIFS($H$4:$H$198,"MKT50",$E$4:$E$198,"Male",$F$4:$F$198,"40-49")</f>
        <v>14</v>
      </c>
    </row>
    <row r="6" spans="1:27" ht="36" customHeight="1" thickBot="1">
      <c r="A6" s="28">
        <v>3</v>
      </c>
      <c r="B6" s="54">
        <v>3330</v>
      </c>
      <c r="C6" s="61" t="str">
        <f>IFERROR(VLOOKUP(B6,'Runner List'!$B$3:$O$505,5,FALSE),0)</f>
        <v>NUTTAWUT SUPANURAT</v>
      </c>
      <c r="D6" s="129" t="str">
        <f>IFERROR(VLOOKUP(B6,'Runner List'!$B$3:$O$505,6,FALSE),0)</f>
        <v>NUTTAWUT.S</v>
      </c>
      <c r="E6" s="8" t="str">
        <f>IFERROR(VLOOKUP(B6,'Runner List'!$B$3:$O$505,7,FALSE),0)</f>
        <v>Male</v>
      </c>
      <c r="F6" s="25" t="str">
        <f>IFERROR(VLOOKUP(B6,'Runner List'!$B$3:$O$505,8,FALSE),0)</f>
        <v>40-49</v>
      </c>
      <c r="G6" s="26" t="str">
        <f>IFERROR(VLOOKUP(B6,'Runner List'!$B$3:$O$505,9,FALSE),0)</f>
        <v>Thai</v>
      </c>
      <c r="H6" s="25" t="str">
        <f>IFERROR(VLOOKUP(B6,'Runner List'!$B$3:$O$505,10,FALSE),0)</f>
        <v>MKT33</v>
      </c>
      <c r="I6" s="24">
        <f ca="1">IFERROR(VLOOKUP(B6,'(2)Check In'!$B$4:$I$848,7,FALSE),0)</f>
        <v>45550.226876273147</v>
      </c>
      <c r="J6" s="24">
        <f>IFERROR(VLOOKUP(B6,'(2)Check In'!$B$4:$I$848,8,FALSE),0)</f>
        <v>0.22916666666666666</v>
      </c>
      <c r="K6" s="24">
        <f t="shared" ca="1" si="0"/>
        <v>45550.411166203703</v>
      </c>
      <c r="L6" s="127">
        <f t="shared" ca="1" si="1"/>
        <v>45550.181999537039</v>
      </c>
      <c r="M6" s="142">
        <f>COUNTIFS($H$3:H6,H6)</f>
        <v>3</v>
      </c>
      <c r="N6" s="142">
        <f>COUNTIFS(F$3:$F6,F6,H$3:$H6,H6,E$3:$E6,E6)</f>
        <v>1</v>
      </c>
      <c r="O6" s="142">
        <f>COUNTIFS($F$3:F6,F6,$H$3:H6,H6)</f>
        <v>1</v>
      </c>
      <c r="S6" s="155"/>
      <c r="T6" s="147"/>
      <c r="U6" s="148" t="s">
        <v>197</v>
      </c>
      <c r="V6" s="156">
        <f>COUNTIFS($H$4:$H$198,"MKT33",$E$4:$E$198,"Male",$F$4:$F$198,"50-59")</f>
        <v>11</v>
      </c>
      <c r="X6" s="162"/>
      <c r="Y6" s="147"/>
      <c r="Z6" s="148" t="s">
        <v>197</v>
      </c>
      <c r="AA6" s="156">
        <f>COUNTIFS($H$4:$H$198,"MKT50",$E$4:$E$198,"Male",$F$4:$F$198,"50-59")</f>
        <v>5</v>
      </c>
    </row>
    <row r="7" spans="1:27" ht="36" customHeight="1">
      <c r="A7" s="29">
        <v>4</v>
      </c>
      <c r="B7" s="54">
        <v>3388</v>
      </c>
      <c r="C7" s="61" t="str">
        <f>IFERROR(VLOOKUP(B7,'Runner List'!$B$3:$O$505,5,FALSE),0)</f>
        <v>WORAWUT PHUENGPHOCHAROENPHAN</v>
      </c>
      <c r="D7" s="129" t="str">
        <f>IFERROR(VLOOKUP(B7,'Runner List'!$B$3:$O$505,6,FALSE),0)</f>
        <v>WORAWUT.P</v>
      </c>
      <c r="E7" s="8" t="str">
        <f>IFERROR(VLOOKUP(B7,'Runner List'!$B$3:$O$505,7,FALSE),0)</f>
        <v>Male</v>
      </c>
      <c r="F7" s="25" t="str">
        <f>IFERROR(VLOOKUP(B7,'Runner List'!$B$3:$O$505,8,FALSE),0)</f>
        <v>40-49</v>
      </c>
      <c r="G7" s="26" t="str">
        <f>IFERROR(VLOOKUP(B7,'Runner List'!$B$3:$O$505,9,FALSE),0)</f>
        <v>Thai</v>
      </c>
      <c r="H7" s="25" t="str">
        <f>IFERROR(VLOOKUP(B7,'Runner List'!$B$3:$O$505,10,FALSE),0)</f>
        <v>MKT33</v>
      </c>
      <c r="I7" s="24">
        <f ca="1">IFERROR(VLOOKUP(B7,'(2)Check In'!$B$4:$I$848,7,FALSE),0)</f>
        <v>45550.226909606485</v>
      </c>
      <c r="J7" s="24">
        <f>IFERROR(VLOOKUP(B7,'(2)Check In'!$B$4:$I$848,8,FALSE),0)</f>
        <v>0.22916666666666666</v>
      </c>
      <c r="K7" s="24">
        <f t="shared" ca="1" si="0"/>
        <v>45550.422970601852</v>
      </c>
      <c r="L7" s="127">
        <f t="shared" ca="1" si="1"/>
        <v>45550.193803935188</v>
      </c>
      <c r="M7" s="142">
        <f>COUNTIFS($H$3:H7,H7)</f>
        <v>4</v>
      </c>
      <c r="N7" s="142">
        <f>COUNTIFS(F$3:$F7,F7,H$3:$H7,H7,E$3:$E7,E7)</f>
        <v>2</v>
      </c>
      <c r="O7" s="142">
        <f>COUNTIFS($F$3:F7,F7,$H$3:H7,H7)</f>
        <v>2</v>
      </c>
      <c r="S7" s="161" t="s">
        <v>278</v>
      </c>
      <c r="T7" s="152">
        <f>COUNTIFS($H$4:$H$198,"MKT33",$E$4:$E$198,"Female")</f>
        <v>22</v>
      </c>
      <c r="U7" s="153" t="s">
        <v>198</v>
      </c>
      <c r="V7" s="154">
        <f>COUNTIFS($H$4:$H$198,"MKT33",$E$4:$E$198,"Female",$F$4:$F$198,"20-39")</f>
        <v>12</v>
      </c>
      <c r="X7" s="165" t="s">
        <v>278</v>
      </c>
      <c r="Y7" s="152">
        <f>COUNTIFS($H$4:$H$198,"MKT50",$E$4:$E$198,"Female")</f>
        <v>8</v>
      </c>
      <c r="Z7" s="153" t="s">
        <v>198</v>
      </c>
      <c r="AA7" s="154">
        <f>COUNTIFS($H$4:$H$198,"MKT50",$E$4:$E$198,"Female",$F$4:$F$198,"20-39")</f>
        <v>0</v>
      </c>
    </row>
    <row r="8" spans="1:27" ht="36" customHeight="1">
      <c r="A8" s="28">
        <v>5</v>
      </c>
      <c r="B8" s="54">
        <v>3350</v>
      </c>
      <c r="C8" s="61" t="str">
        <f>IFERROR(VLOOKUP(B8,'Runner List'!$B$3:$O$505,5,FALSE),0)</f>
        <v>STEFAN ENGEL</v>
      </c>
      <c r="D8" s="129" t="str">
        <f>IFERROR(VLOOKUP(B8,'Runner List'!$B$3:$O$505,6,FALSE),0)</f>
        <v>STEFAN ENGEL</v>
      </c>
      <c r="E8" s="8" t="str">
        <f>IFERROR(VLOOKUP(B8,'Runner List'!$B$3:$O$505,7,FALSE),0)</f>
        <v>Male</v>
      </c>
      <c r="F8" s="25" t="str">
        <f>IFERROR(VLOOKUP(B8,'Runner List'!$B$3:$O$505,8,FALSE),0)</f>
        <v>40-49</v>
      </c>
      <c r="G8" s="26" t="str">
        <f>IFERROR(VLOOKUP(B8,'Runner List'!$B$3:$O$505,9,FALSE),0)</f>
        <v>Swiss</v>
      </c>
      <c r="H8" s="25" t="str">
        <f>IFERROR(VLOOKUP(B8,'Runner List'!$B$3:$O$505,10,FALSE),0)</f>
        <v>MKT33</v>
      </c>
      <c r="I8" s="24">
        <f ca="1">IFERROR(VLOOKUP(B8,'(2)Check In'!$B$4:$I$848,7,FALSE),0)</f>
        <v>45550.226664120368</v>
      </c>
      <c r="J8" s="24">
        <f>IFERROR(VLOOKUP(B8,'(2)Check In'!$B$4:$I$848,8,FALSE),0)</f>
        <v>0.22916666666666666</v>
      </c>
      <c r="K8" s="24">
        <f t="shared" ca="1" si="0"/>
        <v>45550.426326388886</v>
      </c>
      <c r="L8" s="127">
        <f t="shared" ca="1" si="1"/>
        <v>45550.197159722222</v>
      </c>
      <c r="M8" s="142">
        <f>COUNTIFS($H$3:H8,H8)</f>
        <v>5</v>
      </c>
      <c r="N8" s="142">
        <f>COUNTIFS(F$3:$F8,F8,H$3:$H8,H8,E$3:$E8,E8)</f>
        <v>3</v>
      </c>
      <c r="O8" s="142">
        <f>COUNTIFS($F$3:F8,F8,$H$3:H8,H8)</f>
        <v>3</v>
      </c>
      <c r="S8" s="162"/>
      <c r="T8" s="147"/>
      <c r="U8" s="148" t="s">
        <v>196</v>
      </c>
      <c r="V8" s="156">
        <f>COUNTIFS($H$4:$H$198,"MKT33",$E$4:$E$198,"Female",$F$4:$F$198,"40-49")</f>
        <v>5</v>
      </c>
      <c r="X8" s="162"/>
      <c r="Y8" s="147"/>
      <c r="Z8" s="148" t="s">
        <v>196</v>
      </c>
      <c r="AA8" s="156">
        <f>COUNTIFS($H$4:$H$198,"MKT50",$E$4:$E$198,"Female",$F$4:$F$198,"40-49")</f>
        <v>3</v>
      </c>
    </row>
    <row r="9" spans="1:27" ht="36" customHeight="1">
      <c r="A9" s="29">
        <v>6</v>
      </c>
      <c r="B9" s="54">
        <v>3379</v>
      </c>
      <c r="C9" s="61" t="str">
        <f>IFERROR(VLOOKUP(B9,'Runner List'!$B$3:$O$505,5,FALSE),0)</f>
        <v>ITTIPON UPPAPONG</v>
      </c>
      <c r="D9" s="129" t="str">
        <f>IFERROR(VLOOKUP(B9,'Runner List'!$B$3:$O$505,6,FALSE),0)</f>
        <v>ITTIPON.U</v>
      </c>
      <c r="E9" s="8" t="str">
        <f>IFERROR(VLOOKUP(B9,'Runner List'!$B$3:$O$505,7,FALSE),0)</f>
        <v>Male</v>
      </c>
      <c r="F9" s="25" t="str">
        <f>IFERROR(VLOOKUP(B9,'Runner List'!$B$3:$O$505,8,FALSE),0)</f>
        <v>20-39</v>
      </c>
      <c r="G9" s="26" t="str">
        <f>IFERROR(VLOOKUP(B9,'Runner List'!$B$3:$O$505,9,FALSE),0)</f>
        <v>Thai</v>
      </c>
      <c r="H9" s="25" t="str">
        <f>IFERROR(VLOOKUP(B9,'Runner List'!$B$3:$O$505,10,FALSE),0)</f>
        <v>MKT33</v>
      </c>
      <c r="I9" s="24">
        <f ca="1">IFERROR(VLOOKUP(B9,'(2)Check In'!$B$4:$I$848,7,FALSE),0)</f>
        <v>45550.226429629627</v>
      </c>
      <c r="J9" s="24">
        <f>IFERROR(VLOOKUP(B9,'(2)Check In'!$B$4:$I$848,8,FALSE),0)</f>
        <v>0.22916666666666666</v>
      </c>
      <c r="K9" s="24">
        <f t="shared" ca="1" si="0"/>
        <v>45550.432067824077</v>
      </c>
      <c r="L9" s="127">
        <f t="shared" ca="1" si="1"/>
        <v>45550.202901157412</v>
      </c>
      <c r="M9" s="142">
        <f>COUNTIFS($H$3:H9,H9)</f>
        <v>6</v>
      </c>
      <c r="N9" s="142">
        <f>COUNTIFS(F$3:$F9,F9,H$3:$H9,H9,E$3:$E9,E9)</f>
        <v>3</v>
      </c>
      <c r="O9" s="142">
        <f>COUNTIFS($F$3:F9,F9,$H$3:H9,H9)</f>
        <v>3</v>
      </c>
      <c r="S9" s="162"/>
      <c r="T9" s="147"/>
      <c r="U9" s="148" t="s">
        <v>197</v>
      </c>
      <c r="V9" s="156">
        <f>COUNTIFS($H$4:$H$198,"MKT33",$E$4:$E$198,"Female",$F$4:$F$198,"50-59")</f>
        <v>4</v>
      </c>
      <c r="X9" s="162"/>
      <c r="Y9" s="147"/>
      <c r="Z9" s="148" t="s">
        <v>197</v>
      </c>
      <c r="AA9" s="156">
        <f>COUNTIFS($H$4:$H$198,"MKT50",$E$4:$E$198,"Female",$F$4:$F$198,"50-59")</f>
        <v>4</v>
      </c>
    </row>
    <row r="10" spans="1:27" ht="36" customHeight="1" thickBot="1">
      <c r="A10" s="28">
        <v>7</v>
      </c>
      <c r="B10" s="54">
        <v>3301</v>
      </c>
      <c r="C10" s="61" t="str">
        <f>IFERROR(VLOOKUP(B10,'Runner List'!$B$3:$O$505,5,FALSE),0)</f>
        <v>BLAKE WICHTOWSKI</v>
      </c>
      <c r="D10" s="129" t="str">
        <f>IFERROR(VLOOKUP(B10,'Runner List'!$B$3:$O$505,6,FALSE),0)</f>
        <v>BLAKE WICHTOWSKI</v>
      </c>
      <c r="E10" s="8" t="str">
        <f>IFERROR(VLOOKUP(B10,'Runner List'!$B$3:$O$505,7,FALSE),0)</f>
        <v>Male</v>
      </c>
      <c r="F10" s="25" t="str">
        <f>IFERROR(VLOOKUP(B10,'Runner List'!$B$3:$O$505,8,FALSE),0)</f>
        <v>20-39</v>
      </c>
      <c r="G10" s="26" t="str">
        <f>IFERROR(VLOOKUP(B10,'Runner List'!$B$3:$O$505,9,FALSE),0)</f>
        <v>Thai</v>
      </c>
      <c r="H10" s="25" t="str">
        <f>IFERROR(VLOOKUP(B10,'Runner List'!$B$3:$O$505,10,FALSE),0)</f>
        <v>MKT33</v>
      </c>
      <c r="I10" s="24">
        <f ca="1">IFERROR(VLOOKUP(B10,'(2)Check In'!$B$4:$I$848,7,FALSE),0)</f>
        <v>45550.226105324073</v>
      </c>
      <c r="J10" s="24">
        <f>IFERROR(VLOOKUP(B10,'(2)Check In'!$B$4:$I$848,8,FALSE),0)</f>
        <v>0.22916666666666666</v>
      </c>
      <c r="K10" s="24">
        <f t="shared" ca="1" si="0"/>
        <v>45550.43378796296</v>
      </c>
      <c r="L10" s="127">
        <f t="shared" ca="1" si="1"/>
        <v>45550.204621296296</v>
      </c>
      <c r="M10" s="142">
        <f>COUNTIFS($H$3:H10,H10)</f>
        <v>7</v>
      </c>
      <c r="N10" s="142">
        <f>COUNTIFS(F$3:$F10,F10,H$3:$H10,H10,E$3:$E10,E10)</f>
        <v>4</v>
      </c>
      <c r="O10" s="142">
        <f>COUNTIFS($F$3:F10,F10,$H$3:H10,H10)</f>
        <v>4</v>
      </c>
      <c r="S10" s="163"/>
      <c r="T10" s="158"/>
      <c r="U10" s="159" t="s">
        <v>274</v>
      </c>
      <c r="V10" s="160">
        <f>COUNTIFS($H$4:$H$198,"MKT33",$E$4:$E$198,"Female",$F$4:$F$198,"60 Plus")</f>
        <v>1</v>
      </c>
      <c r="X10" s="163"/>
      <c r="Y10" s="158"/>
      <c r="Z10" s="159" t="s">
        <v>274</v>
      </c>
      <c r="AA10" s="160">
        <f>COUNTIFS($H$4:$H$198,"MKT50",$E$4:$E$198,"Female",$F$4:$F$198,"60 Plus")</f>
        <v>1</v>
      </c>
    </row>
    <row r="11" spans="1:27" ht="36" customHeight="1">
      <c r="A11" s="29">
        <v>8</v>
      </c>
      <c r="B11" s="54">
        <v>3395</v>
      </c>
      <c r="C11" s="61" t="str">
        <f>IFERROR(VLOOKUP(B11,'Runner List'!$B$3:$O$505,5,FALSE),0)</f>
        <v>BANCHAPOL DHIRANETRA</v>
      </c>
      <c r="D11" s="129" t="str">
        <f>IFERROR(VLOOKUP(B11,'Runner List'!$B$3:$O$505,6,FALSE),0)</f>
        <v>BANCHAPOL.D</v>
      </c>
      <c r="E11" s="8" t="str">
        <f>IFERROR(VLOOKUP(B11,'Runner List'!$B$3:$O$505,7,FALSE),0)</f>
        <v>Male</v>
      </c>
      <c r="F11" s="25" t="str">
        <f>IFERROR(VLOOKUP(B11,'Runner List'!$B$3:$O$505,8,FALSE),0)</f>
        <v>50-59</v>
      </c>
      <c r="G11" s="26" t="str">
        <f>IFERROR(VLOOKUP(B11,'Runner List'!$B$3:$O$505,9,FALSE),0)</f>
        <v>Thai</v>
      </c>
      <c r="H11" s="25" t="str">
        <f>IFERROR(VLOOKUP(B11,'Runner List'!$B$3:$O$505,10,FALSE),0)</f>
        <v>MKT33</v>
      </c>
      <c r="I11" s="24">
        <f ca="1">IFERROR(VLOOKUP(B11,'(2)Check In'!$B$4:$I$848,7,FALSE),0)</f>
        <v>45550.227071180554</v>
      </c>
      <c r="J11" s="24">
        <f>IFERROR(VLOOKUP(B11,'(2)Check In'!$B$4:$I$848,8,FALSE),0)</f>
        <v>0.22916666666666666</v>
      </c>
      <c r="K11" s="24">
        <f t="shared" ca="1" si="0"/>
        <v>45550.438182291669</v>
      </c>
      <c r="L11" s="127">
        <f t="shared" ca="1" si="1"/>
        <v>45550.209015625005</v>
      </c>
      <c r="M11" s="142">
        <f>COUNTIFS($H$3:H11,H11)</f>
        <v>8</v>
      </c>
      <c r="N11" s="142">
        <f>COUNTIFS(F$3:$F11,F11,H$3:$H11,H11,E$3:$E11,E11)</f>
        <v>1</v>
      </c>
      <c r="O11" s="142">
        <f>COUNTIFS($F$3:F11,F11,$H$3:H11,H11)</f>
        <v>1</v>
      </c>
      <c r="S11" s="164" t="s">
        <v>279</v>
      </c>
      <c r="T11" s="152">
        <f>COUNTIFS($H$4:$H$198,"MKT33",$E$4:$E$198,"LGBTIQAN+")</f>
        <v>2</v>
      </c>
      <c r="U11" s="153" t="s">
        <v>198</v>
      </c>
      <c r="V11" s="154" t="s">
        <v>288</v>
      </c>
      <c r="X11" s="165" t="s">
        <v>279</v>
      </c>
      <c r="Y11" s="152">
        <f>COUNTIFS($H$4:$H$198,"MKT50",$E$4:$E$198,"LGBTIQAN+")</f>
        <v>1</v>
      </c>
      <c r="Z11" s="153" t="s">
        <v>198</v>
      </c>
      <c r="AA11" s="154" t="s">
        <v>288</v>
      </c>
    </row>
    <row r="12" spans="1:27" ht="36" customHeight="1">
      <c r="A12" s="28">
        <v>9</v>
      </c>
      <c r="B12" s="54">
        <v>3389</v>
      </c>
      <c r="C12" s="61" t="str">
        <f>IFERROR(VLOOKUP(B12,'Runner List'!$B$3:$O$505,5,FALSE),0)</f>
        <v>PANUPONG THAWAI</v>
      </c>
      <c r="D12" s="129" t="str">
        <f>IFERROR(VLOOKUP(B12,'Runner List'!$B$3:$O$505,6,FALSE),0)</f>
        <v>PANUPONG.T</v>
      </c>
      <c r="E12" s="8" t="str">
        <f>IFERROR(VLOOKUP(B12,'Runner List'!$B$3:$O$505,7,FALSE),0)</f>
        <v>Male</v>
      </c>
      <c r="F12" s="25" t="str">
        <f>IFERROR(VLOOKUP(B12,'Runner List'!$B$3:$O$505,8,FALSE),0)</f>
        <v>20-39</v>
      </c>
      <c r="G12" s="26" t="str">
        <f>IFERROR(VLOOKUP(B12,'Runner List'!$B$3:$O$505,9,FALSE),0)</f>
        <v>Thai</v>
      </c>
      <c r="H12" s="25" t="str">
        <f>IFERROR(VLOOKUP(B12,'Runner List'!$B$3:$O$505,10,FALSE),0)</f>
        <v>MKT33</v>
      </c>
      <c r="I12" s="24">
        <f ca="1">IFERROR(VLOOKUP(B12,'(2)Check In'!$B$4:$I$848,7,FALSE),0)</f>
        <v>45550.227269212963</v>
      </c>
      <c r="J12" s="24">
        <f>IFERROR(VLOOKUP(B12,'(2)Check In'!$B$4:$I$848,8,FALSE),0)</f>
        <v>0.22916666666666666</v>
      </c>
      <c r="K12" s="24">
        <f t="shared" ca="1" si="0"/>
        <v>45550.442355671294</v>
      </c>
      <c r="L12" s="127">
        <f t="shared" ca="1" si="1"/>
        <v>45550.213189004629</v>
      </c>
      <c r="M12" s="142">
        <f>COUNTIFS($H$3:H12,H12)</f>
        <v>9</v>
      </c>
      <c r="N12" s="142">
        <f>COUNTIFS(F$3:$F12,F12,H$3:$H12,H12,E$3:$E12,E12)</f>
        <v>5</v>
      </c>
      <c r="O12" s="142">
        <f>COUNTIFS($F$3:F12,F12,$H$3:H12,H12)</f>
        <v>5</v>
      </c>
      <c r="S12" s="162"/>
      <c r="T12" s="147"/>
      <c r="U12" s="148" t="s">
        <v>196</v>
      </c>
      <c r="V12" s="156" t="s">
        <v>288</v>
      </c>
      <c r="X12" s="162"/>
      <c r="Y12" s="147"/>
      <c r="Z12" s="148" t="s">
        <v>196</v>
      </c>
      <c r="AA12" s="156" t="s">
        <v>288</v>
      </c>
    </row>
    <row r="13" spans="1:27" ht="36" customHeight="1">
      <c r="A13" s="29">
        <v>10</v>
      </c>
      <c r="B13" s="54">
        <v>3371</v>
      </c>
      <c r="C13" s="61" t="str">
        <f>IFERROR(VLOOKUP(B13,'Runner List'!$B$3:$O$505,5,FALSE),0)</f>
        <v>CHARUWAT KETSORN</v>
      </c>
      <c r="D13" s="129" t="str">
        <f>IFERROR(VLOOKUP(B13,'Runner List'!$B$3:$O$505,6,FALSE),0)</f>
        <v>CHARUWAT.K</v>
      </c>
      <c r="E13" s="8" t="str">
        <f>IFERROR(VLOOKUP(B13,'Runner List'!$B$3:$O$505,7,FALSE),0)</f>
        <v>Male</v>
      </c>
      <c r="F13" s="25" t="str">
        <f>IFERROR(VLOOKUP(B13,'Runner List'!$B$3:$O$505,8,FALSE),0)</f>
        <v>50-59</v>
      </c>
      <c r="G13" s="26" t="str">
        <f>IFERROR(VLOOKUP(B13,'Runner List'!$B$3:$O$505,9,FALSE),0)</f>
        <v>Thai</v>
      </c>
      <c r="H13" s="25" t="str">
        <f>IFERROR(VLOOKUP(B13,'Runner List'!$B$3:$O$505,10,FALSE),0)</f>
        <v>MKT33</v>
      </c>
      <c r="I13" s="24">
        <f ca="1">IFERROR(VLOOKUP(B13,'(2)Check In'!$B$4:$I$848,7,FALSE),0)</f>
        <v>45550.228721527776</v>
      </c>
      <c r="J13" s="24">
        <f>IFERROR(VLOOKUP(B13,'(2)Check In'!$B$4:$I$848,8,FALSE),0)</f>
        <v>0.22916666666666666</v>
      </c>
      <c r="K13" s="24">
        <f t="shared" ca="1" si="0"/>
        <v>45550.446464814813</v>
      </c>
      <c r="L13" s="127">
        <f t="shared" ca="1" si="1"/>
        <v>45550.217298148149</v>
      </c>
      <c r="M13" s="142">
        <f>COUNTIFS($H$3:H13,H13)</f>
        <v>10</v>
      </c>
      <c r="N13" s="142">
        <f>COUNTIFS(F$3:$F13,F13,H$3:$H13,H13,E$3:$E13,E13)</f>
        <v>2</v>
      </c>
      <c r="O13" s="142">
        <f>COUNTIFS($F$3:F13,F13,$H$3:H13,H13)</f>
        <v>2</v>
      </c>
      <c r="S13" s="162"/>
      <c r="T13" s="147"/>
      <c r="U13" s="148" t="s">
        <v>197</v>
      </c>
      <c r="V13" s="156" t="s">
        <v>288</v>
      </c>
      <c r="X13" s="162"/>
      <c r="Y13" s="147"/>
      <c r="Z13" s="148" t="s">
        <v>197</v>
      </c>
      <c r="AA13" s="156" t="s">
        <v>288</v>
      </c>
    </row>
    <row r="14" spans="1:27" ht="36" customHeight="1" thickBot="1">
      <c r="A14" s="28">
        <v>11</v>
      </c>
      <c r="B14" s="54">
        <v>3348</v>
      </c>
      <c r="C14" s="61" t="str">
        <f>IFERROR(VLOOKUP(B14,'Runner List'!$B$3:$O$505,5,FALSE),0)</f>
        <v>OLIVER HELM</v>
      </c>
      <c r="D14" s="129" t="str">
        <f>IFERROR(VLOOKUP(B14,'Runner List'!$B$3:$O$505,6,FALSE),0)</f>
        <v>OLIVER HELM</v>
      </c>
      <c r="E14" s="8" t="str">
        <f>IFERROR(VLOOKUP(B14,'Runner List'!$B$3:$O$505,7,FALSE),0)</f>
        <v>Male</v>
      </c>
      <c r="F14" s="25" t="str">
        <f>IFERROR(VLOOKUP(B14,'Runner List'!$B$3:$O$505,8,FALSE),0)</f>
        <v>20-39</v>
      </c>
      <c r="G14" s="26" t="str">
        <f>IFERROR(VLOOKUP(B14,'Runner List'!$B$3:$O$505,9,FALSE),0)</f>
        <v>New Zealand</v>
      </c>
      <c r="H14" s="25" t="str">
        <f>IFERROR(VLOOKUP(B14,'Runner List'!$B$3:$O$505,10,FALSE),0)</f>
        <v>MKT33</v>
      </c>
      <c r="I14" s="24">
        <f ca="1">IFERROR(VLOOKUP(B14,'(2)Check In'!$B$4:$I$848,7,FALSE),0)</f>
        <v>45550.226089467593</v>
      </c>
      <c r="J14" s="24">
        <f>IFERROR(VLOOKUP(B14,'(2)Check In'!$B$4:$I$848,8,FALSE),0)</f>
        <v>0.22916666666666666</v>
      </c>
      <c r="K14" s="24">
        <f t="shared" ca="1" si="0"/>
        <v>45550.446851620371</v>
      </c>
      <c r="L14" s="127">
        <f t="shared" ca="1" si="1"/>
        <v>45550.217684953706</v>
      </c>
      <c r="M14" s="142">
        <f>COUNTIFS($H$3:H14,H14)</f>
        <v>11</v>
      </c>
      <c r="N14" s="142">
        <f>COUNTIFS(F$3:$F14,F14,H$3:$H14,H14,E$3:$E14,E14)</f>
        <v>6</v>
      </c>
      <c r="O14" s="142">
        <f>COUNTIFS($F$3:F14,F14,$H$3:H14,H14)</f>
        <v>6</v>
      </c>
      <c r="S14" s="163"/>
      <c r="T14" s="158"/>
      <c r="U14" s="159" t="s">
        <v>274</v>
      </c>
      <c r="V14" s="160" t="s">
        <v>288</v>
      </c>
      <c r="X14" s="163"/>
      <c r="Y14" s="158"/>
      <c r="Z14" s="159" t="s">
        <v>274</v>
      </c>
      <c r="AA14" s="160" t="s">
        <v>288</v>
      </c>
    </row>
    <row r="15" spans="1:27" ht="36" customHeight="1">
      <c r="A15" s="29">
        <v>12</v>
      </c>
      <c r="B15" s="54">
        <v>3370</v>
      </c>
      <c r="C15" s="61" t="str">
        <f>IFERROR(VLOOKUP(B15,'Runner List'!$B$3:$O$505,5,FALSE),0)</f>
        <v>WECHSON KHAMPINIT</v>
      </c>
      <c r="D15" s="129" t="str">
        <f>IFERROR(VLOOKUP(B15,'Runner List'!$B$3:$O$505,6,FALSE),0)</f>
        <v>WECHSON.K</v>
      </c>
      <c r="E15" s="8" t="str">
        <f>IFERROR(VLOOKUP(B15,'Runner List'!$B$3:$O$505,7,FALSE),0)</f>
        <v>Male</v>
      </c>
      <c r="F15" s="25" t="str">
        <f>IFERROR(VLOOKUP(B15,'Runner List'!$B$3:$O$505,8,FALSE),0)</f>
        <v>60 Plus</v>
      </c>
      <c r="G15" s="26" t="str">
        <f>IFERROR(VLOOKUP(B15,'Runner List'!$B$3:$O$505,9,FALSE),0)</f>
        <v>Thai</v>
      </c>
      <c r="H15" s="25" t="str">
        <f>IFERROR(VLOOKUP(B15,'Runner List'!$B$3:$O$505,10,FALSE),0)</f>
        <v>MKT33</v>
      </c>
      <c r="I15" s="24">
        <f ca="1">IFERROR(VLOOKUP(B15,'(2)Check In'!$B$4:$I$848,7,FALSE),0)</f>
        <v>45550.228545254628</v>
      </c>
      <c r="J15" s="24">
        <f>IFERROR(VLOOKUP(B15,'(2)Check In'!$B$4:$I$848,8,FALSE),0)</f>
        <v>0.22916666666666666</v>
      </c>
      <c r="K15" s="24">
        <f t="shared" ca="1" si="0"/>
        <v>45550.447214004627</v>
      </c>
      <c r="L15" s="127">
        <f t="shared" ca="1" si="1"/>
        <v>45550.218047337963</v>
      </c>
      <c r="M15" s="142">
        <f>COUNTIFS($H$3:H15,H15)</f>
        <v>12</v>
      </c>
      <c r="N15" s="142">
        <f>COUNTIFS(F$3:$F15,F15,H$3:$H15,H15,E$3:$E15,E15)</f>
        <v>1</v>
      </c>
      <c r="O15" s="142">
        <f>COUNTIFS($F$3:F15,F15,$H$3:H15,H15)</f>
        <v>1</v>
      </c>
      <c r="T15" s="186">
        <f>SUM(T4:T14)</f>
        <v>66</v>
      </c>
      <c r="Y15" s="186">
        <f>SUM(Y4:Y14)</f>
        <v>34</v>
      </c>
    </row>
    <row r="16" spans="1:27" ht="36" customHeight="1">
      <c r="A16" s="28">
        <v>13</v>
      </c>
      <c r="B16" s="54">
        <v>3386</v>
      </c>
      <c r="C16" s="61" t="str">
        <f>IFERROR(VLOOKUP(B16,'Runner List'!$B$3:$O$505,5,FALSE),0)</f>
        <v>ARTITH KORKIETSOPA</v>
      </c>
      <c r="D16" s="129" t="str">
        <f>IFERROR(VLOOKUP(B16,'Runner List'!$B$3:$O$505,6,FALSE),0)</f>
        <v>ARTITH.K</v>
      </c>
      <c r="E16" s="8" t="str">
        <f>IFERROR(VLOOKUP(B16,'Runner List'!$B$3:$O$505,7,FALSE),0)</f>
        <v>Male</v>
      </c>
      <c r="F16" s="25" t="str">
        <f>IFERROR(VLOOKUP(B16,'Runner List'!$B$3:$O$505,8,FALSE),0)</f>
        <v>20-39</v>
      </c>
      <c r="G16" s="26" t="str">
        <f>IFERROR(VLOOKUP(B16,'Runner List'!$B$3:$O$505,9,FALSE),0)</f>
        <v>Thai</v>
      </c>
      <c r="H16" s="25" t="str">
        <f>IFERROR(VLOOKUP(B16,'Runner List'!$B$3:$O$505,10,FALSE),0)</f>
        <v>MKT33</v>
      </c>
      <c r="I16" s="24">
        <f ca="1">IFERROR(VLOOKUP(B16,'(2)Check In'!$B$4:$I$848,7,FALSE),0)</f>
        <v>45550.228791435184</v>
      </c>
      <c r="J16" s="24">
        <f>IFERROR(VLOOKUP(B16,'(2)Check In'!$B$4:$I$848,8,FALSE),0)</f>
        <v>0.22916666666666666</v>
      </c>
      <c r="K16" s="24">
        <f t="shared" ca="1" si="0"/>
        <v>45550.450981365742</v>
      </c>
      <c r="L16" s="127">
        <f t="shared" ca="1" si="1"/>
        <v>45550.221814699078</v>
      </c>
      <c r="M16" s="142">
        <f>COUNTIFS($H$3:H16,H16)</f>
        <v>13</v>
      </c>
      <c r="N16" s="142">
        <f>COUNTIFS(F$3:$F16,F16,H$3:$H16,H16,E$3:$E16,E16)</f>
        <v>7</v>
      </c>
      <c r="O16" s="142">
        <f>COUNTIFS($F$3:F16,F16,$H$3:H16,H16)</f>
        <v>7</v>
      </c>
    </row>
    <row r="17" spans="1:15" ht="36" customHeight="1">
      <c r="A17" s="29">
        <v>14</v>
      </c>
      <c r="B17" s="54">
        <v>3337</v>
      </c>
      <c r="C17" s="61" t="str">
        <f>IFERROR(VLOOKUP(B17,'Runner List'!$B$3:$O$505,5,FALSE),0)</f>
        <v>CHAIRAT TEEKHASAENEE</v>
      </c>
      <c r="D17" s="129" t="str">
        <f>IFERROR(VLOOKUP(B17,'Runner List'!$B$3:$O$505,6,FALSE),0)</f>
        <v>CHAIRAT.T</v>
      </c>
      <c r="E17" s="8" t="str">
        <f>IFERROR(VLOOKUP(B17,'Runner List'!$B$3:$O$505,7,FALSE),0)</f>
        <v>Male</v>
      </c>
      <c r="F17" s="25" t="str">
        <f>IFERROR(VLOOKUP(B17,'Runner List'!$B$3:$O$505,8,FALSE),0)</f>
        <v>50-59</v>
      </c>
      <c r="G17" s="26" t="str">
        <f>IFERROR(VLOOKUP(B17,'Runner List'!$B$3:$O$505,9,FALSE),0)</f>
        <v>Thai</v>
      </c>
      <c r="H17" s="25" t="str">
        <f>IFERROR(VLOOKUP(B17,'Runner List'!$B$3:$O$505,10,FALSE),0)</f>
        <v>MKT33</v>
      </c>
      <c r="I17" s="24">
        <f ca="1">IFERROR(VLOOKUP(B17,'(2)Check In'!$B$4:$I$848,7,FALSE),0)</f>
        <v>45550.228473148149</v>
      </c>
      <c r="J17" s="24">
        <f>IFERROR(VLOOKUP(B17,'(2)Check In'!$B$4:$I$848,8,FALSE),0)</f>
        <v>0.22916666666666666</v>
      </c>
      <c r="K17" s="24">
        <f t="shared" ca="1" si="0"/>
        <v>45550.456824189816</v>
      </c>
      <c r="L17" s="127">
        <f t="shared" ca="1" si="1"/>
        <v>45550.227657523152</v>
      </c>
      <c r="M17" s="142">
        <f>COUNTIFS($H$3:H17,H17)</f>
        <v>14</v>
      </c>
      <c r="N17" s="142">
        <f>COUNTIFS(F$3:$F17,F17,H$3:$H17,H17,E$3:$E17,E17)</f>
        <v>3</v>
      </c>
      <c r="O17" s="142">
        <f>COUNTIFS($F$3:F17,F17,$H$3:H17,H17)</f>
        <v>3</v>
      </c>
    </row>
    <row r="18" spans="1:15" ht="36" customHeight="1">
      <c r="A18" s="28">
        <v>15</v>
      </c>
      <c r="B18" s="54">
        <v>3316</v>
      </c>
      <c r="C18" s="61" t="str">
        <f>IFERROR(VLOOKUP(B18,'Runner List'!$B$3:$O$505,5,FALSE),0)</f>
        <v>NIPON PATCHARASATID</v>
      </c>
      <c r="D18" s="129" t="str">
        <f>IFERROR(VLOOKUP(B18,'Runner List'!$B$3:$O$505,6,FALSE),0)</f>
        <v>NIPON.P</v>
      </c>
      <c r="E18" s="8" t="str">
        <f>IFERROR(VLOOKUP(B18,'Runner List'!$B$3:$O$505,7,FALSE),0)</f>
        <v>Male</v>
      </c>
      <c r="F18" s="25" t="str">
        <f>IFERROR(VLOOKUP(B18,'Runner List'!$B$3:$O$505,8,FALSE),0)</f>
        <v>40-49</v>
      </c>
      <c r="G18" s="26" t="str">
        <f>IFERROR(VLOOKUP(B18,'Runner List'!$B$3:$O$505,9,FALSE),0)</f>
        <v>Thai</v>
      </c>
      <c r="H18" s="25" t="str">
        <f>IFERROR(VLOOKUP(B18,'Runner List'!$B$3:$O$505,10,FALSE),0)</f>
        <v>MKT33</v>
      </c>
      <c r="I18" s="24">
        <f ca="1">IFERROR(VLOOKUP(B18,'(2)Check In'!$B$4:$I$848,7,FALSE),0)</f>
        <v>45550.227610069443</v>
      </c>
      <c r="J18" s="24">
        <f>IFERROR(VLOOKUP(B18,'(2)Check In'!$B$4:$I$848,8,FALSE),0)</f>
        <v>0.22916666666666666</v>
      </c>
      <c r="K18" s="24">
        <f t="shared" ca="1" si="0"/>
        <v>45550.458804050926</v>
      </c>
      <c r="L18" s="127">
        <f t="shared" ca="1" si="1"/>
        <v>45550.229637384262</v>
      </c>
      <c r="M18" s="142">
        <f>COUNTIFS($H$3:H18,H18)</f>
        <v>15</v>
      </c>
      <c r="N18" s="142">
        <f>COUNTIFS(F$3:$F18,F18,H$3:$H18,H18,E$3:$E18,E18)</f>
        <v>4</v>
      </c>
      <c r="O18" s="142">
        <f>COUNTIFS($F$3:F18,F18,$H$3:H18,H18)</f>
        <v>4</v>
      </c>
    </row>
    <row r="19" spans="1:15" ht="36" customHeight="1">
      <c r="A19" s="29">
        <v>16</v>
      </c>
      <c r="B19" s="54">
        <v>3364</v>
      </c>
      <c r="C19" s="61" t="str">
        <f>IFERROR(VLOOKUP(B19,'Runner List'!$B$3:$O$505,5,FALSE),0)</f>
        <v>EMMANUEL ABADIE</v>
      </c>
      <c r="D19" s="129" t="str">
        <f>IFERROR(VLOOKUP(B19,'Runner List'!$B$3:$O$505,6,FALSE),0)</f>
        <v>EMMANUEL.A</v>
      </c>
      <c r="E19" s="8" t="str">
        <f>IFERROR(VLOOKUP(B19,'Runner List'!$B$3:$O$505,7,FALSE),0)</f>
        <v>Male</v>
      </c>
      <c r="F19" s="25" t="str">
        <f>IFERROR(VLOOKUP(B19,'Runner List'!$B$3:$O$505,8,FALSE),0)</f>
        <v>20-39</v>
      </c>
      <c r="G19" s="26" t="str">
        <f>IFERROR(VLOOKUP(B19,'Runner List'!$B$3:$O$505,9,FALSE),0)</f>
        <v>French</v>
      </c>
      <c r="H19" s="25" t="str">
        <f>IFERROR(VLOOKUP(B19,'Runner List'!$B$3:$O$505,10,FALSE),0)</f>
        <v>MKT33</v>
      </c>
      <c r="I19" s="24">
        <f ca="1">IFERROR(VLOOKUP(B19,'(2)Check In'!$B$4:$I$848,7,FALSE),0)</f>
        <v>45550.227105324077</v>
      </c>
      <c r="J19" s="24">
        <f>IFERROR(VLOOKUP(B19,'(2)Check In'!$B$4:$I$848,8,FALSE),0)</f>
        <v>0.22916666666666666</v>
      </c>
      <c r="K19" s="24">
        <f t="shared" ca="1" si="0"/>
        <v>45550.46098541667</v>
      </c>
      <c r="L19" s="127">
        <f t="shared" ca="1" si="1"/>
        <v>45550.231818750006</v>
      </c>
      <c r="M19" s="142">
        <f>COUNTIFS($H$3:H19,H19)</f>
        <v>16</v>
      </c>
      <c r="N19" s="142">
        <f>COUNTIFS(F$3:$F19,F19,H$3:$H19,H19,E$3:$E19,E19)</f>
        <v>8</v>
      </c>
      <c r="O19" s="142">
        <f>COUNTIFS($F$3:F19,F19,$H$3:H19,H19)</f>
        <v>8</v>
      </c>
    </row>
    <row r="20" spans="1:15" ht="36" customHeight="1">
      <c r="A20" s="28">
        <v>17</v>
      </c>
      <c r="B20" s="54">
        <v>3322</v>
      </c>
      <c r="C20" s="61" t="str">
        <f>IFERROR(VLOOKUP(B20,'Runner List'!$B$3:$O$505,5,FALSE),0)</f>
        <v>TEERAPONG TUMMAPAN</v>
      </c>
      <c r="D20" s="129" t="str">
        <f>IFERROR(VLOOKUP(B20,'Runner List'!$B$3:$O$505,6,FALSE),0)</f>
        <v>TEERAPONG.T</v>
      </c>
      <c r="E20" s="8" t="str">
        <f>IFERROR(VLOOKUP(B20,'Runner List'!$B$3:$O$505,7,FALSE),0)</f>
        <v>Male</v>
      </c>
      <c r="F20" s="25" t="str">
        <f>IFERROR(VLOOKUP(B20,'Runner List'!$B$3:$O$505,8,FALSE),0)</f>
        <v>20-39</v>
      </c>
      <c r="G20" s="26" t="str">
        <f>IFERROR(VLOOKUP(B20,'Runner List'!$B$3:$O$505,9,FALSE),0)</f>
        <v>Thai</v>
      </c>
      <c r="H20" s="25" t="str">
        <f>IFERROR(VLOOKUP(B20,'Runner List'!$B$3:$O$505,10,FALSE),0)</f>
        <v>MKT33</v>
      </c>
      <c r="I20" s="24">
        <f ca="1">IFERROR(VLOOKUP(B20,'(2)Check In'!$B$4:$I$848,7,FALSE),0)</f>
        <v>45550.227571759257</v>
      </c>
      <c r="J20" s="24">
        <f>IFERROR(VLOOKUP(B20,'(2)Check In'!$B$4:$I$848,8,FALSE),0)</f>
        <v>0.22916666666666666</v>
      </c>
      <c r="K20" s="24">
        <f t="shared" ca="1" si="0"/>
        <v>45550.462409259257</v>
      </c>
      <c r="L20" s="127">
        <f t="shared" ca="1" si="1"/>
        <v>45550.233242592592</v>
      </c>
      <c r="M20" s="142">
        <f>COUNTIFS($H$3:H20,H20)</f>
        <v>17</v>
      </c>
      <c r="N20" s="142">
        <f>COUNTIFS(F$3:$F20,F20,H$3:$H20,H20,E$3:$E20,E20)</f>
        <v>9</v>
      </c>
      <c r="O20" s="142">
        <f>COUNTIFS($F$3:F20,F20,$H$3:H20,H20)</f>
        <v>9</v>
      </c>
    </row>
    <row r="21" spans="1:15" ht="36" customHeight="1">
      <c r="A21" s="29">
        <v>18</v>
      </c>
      <c r="B21" s="54">
        <v>3383</v>
      </c>
      <c r="C21" s="61" t="str">
        <f>IFERROR(VLOOKUP(B21,'Runner List'!$B$3:$O$505,5,FALSE),0)</f>
        <v>SARAVUT CHAIBOONRUANG</v>
      </c>
      <c r="D21" s="129" t="str">
        <f>IFERROR(VLOOKUP(B21,'Runner List'!$B$3:$O$505,6,FALSE),0)</f>
        <v>SARAVUT.C</v>
      </c>
      <c r="E21" s="8" t="str">
        <f>IFERROR(VLOOKUP(B21,'Runner List'!$B$3:$O$505,7,FALSE),0)</f>
        <v>Male</v>
      </c>
      <c r="F21" s="25" t="str">
        <f>IFERROR(VLOOKUP(B21,'Runner List'!$B$3:$O$505,8,FALSE),0)</f>
        <v>40-49</v>
      </c>
      <c r="G21" s="26" t="str">
        <f>IFERROR(VLOOKUP(B21,'Runner List'!$B$3:$O$505,9,FALSE),0)</f>
        <v>Thai</v>
      </c>
      <c r="H21" s="25" t="str">
        <f>IFERROR(VLOOKUP(B21,'Runner List'!$B$3:$O$505,10,FALSE),0)</f>
        <v>MKT33</v>
      </c>
      <c r="I21" s="24">
        <f ca="1">IFERROR(VLOOKUP(B21,'(2)Check In'!$B$4:$I$848,7,FALSE),0)</f>
        <v>45550.22741446759</v>
      </c>
      <c r="J21" s="24">
        <f>IFERROR(VLOOKUP(B21,'(2)Check In'!$B$4:$I$848,8,FALSE),0)</f>
        <v>0.22916666666666666</v>
      </c>
      <c r="K21" s="24">
        <f t="shared" ca="1" si="0"/>
        <v>45550.462870949072</v>
      </c>
      <c r="L21" s="127">
        <f t="shared" ca="1" si="1"/>
        <v>45550.233704282407</v>
      </c>
      <c r="M21" s="142">
        <f>COUNTIFS($H$3:H21,H21)</f>
        <v>18</v>
      </c>
      <c r="N21" s="142">
        <f>COUNTIFS(F$3:$F21,F21,H$3:$H21,H21,E$3:$E21,E21)</f>
        <v>5</v>
      </c>
      <c r="O21" s="142">
        <f>COUNTIFS($F$3:F21,F21,$H$3:H21,H21)</f>
        <v>5</v>
      </c>
    </row>
    <row r="22" spans="1:15" ht="36" customHeight="1">
      <c r="A22" s="28">
        <v>19</v>
      </c>
      <c r="B22" s="54">
        <v>3369</v>
      </c>
      <c r="C22" s="61" t="str">
        <f>IFERROR(VLOOKUP(B22,'Runner List'!$B$3:$O$505,5,FALSE),0)</f>
        <v>SURASAK CHUNTAPA</v>
      </c>
      <c r="D22" s="129" t="str">
        <f>IFERROR(VLOOKUP(B22,'Runner List'!$B$3:$O$505,6,FALSE),0)</f>
        <v>SURASAK.C</v>
      </c>
      <c r="E22" s="8" t="str">
        <f>IFERROR(VLOOKUP(B22,'Runner List'!$B$3:$O$505,7,FALSE),0)</f>
        <v>Male</v>
      </c>
      <c r="F22" s="25" t="str">
        <f>IFERROR(VLOOKUP(B22,'Runner List'!$B$3:$O$505,8,FALSE),0)</f>
        <v>20-39</v>
      </c>
      <c r="G22" s="26" t="str">
        <f>IFERROR(VLOOKUP(B22,'Runner List'!$B$3:$O$505,9,FALSE),0)</f>
        <v>Thai</v>
      </c>
      <c r="H22" s="25" t="str">
        <f>IFERROR(VLOOKUP(B22,'Runner List'!$B$3:$O$505,10,FALSE),0)</f>
        <v>MKT33</v>
      </c>
      <c r="I22" s="24">
        <f ca="1">IFERROR(VLOOKUP(B22,'(2)Check In'!$B$4:$I$848,7,FALSE),0)</f>
        <v>45550.227234375001</v>
      </c>
      <c r="J22" s="24">
        <f>IFERROR(VLOOKUP(B22,'(2)Check In'!$B$4:$I$848,8,FALSE),0)</f>
        <v>0.22916666666666666</v>
      </c>
      <c r="K22" s="24">
        <f t="shared" ca="1" si="0"/>
        <v>45550.463337499998</v>
      </c>
      <c r="L22" s="127">
        <f t="shared" ca="1" si="1"/>
        <v>45550.234170833333</v>
      </c>
      <c r="M22" s="142">
        <f>COUNTIFS($H$3:H22,H22)</f>
        <v>19</v>
      </c>
      <c r="N22" s="142">
        <f>COUNTIFS(F$3:$F22,F22,H$3:$H22,H22,E$3:$E22,E22)</f>
        <v>10</v>
      </c>
      <c r="O22" s="142">
        <f>COUNTIFS($F$3:F22,F22,$H$3:H22,H22)</f>
        <v>10</v>
      </c>
    </row>
    <row r="23" spans="1:15" ht="36" customHeight="1">
      <c r="A23" s="29">
        <v>20</v>
      </c>
      <c r="B23" s="54">
        <v>3390</v>
      </c>
      <c r="C23" s="61" t="str">
        <f>IFERROR(VLOOKUP(B23,'Runner List'!$B$3:$O$505,5,FALSE),0)</f>
        <v>URAIWAN JINAPHO</v>
      </c>
      <c r="D23" s="129" t="str">
        <f>IFERROR(VLOOKUP(B23,'Runner List'!$B$3:$O$505,6,FALSE),0)</f>
        <v>URAIWAN.J</v>
      </c>
      <c r="E23" s="8" t="str">
        <f>IFERROR(VLOOKUP(B23,'Runner List'!$B$3:$O$505,7,FALSE),0)</f>
        <v>Female</v>
      </c>
      <c r="F23" s="25" t="str">
        <f>IFERROR(VLOOKUP(B23,'Runner List'!$B$3:$O$505,8,FALSE),0)</f>
        <v>20-39</v>
      </c>
      <c r="G23" s="26" t="str">
        <f>IFERROR(VLOOKUP(B23,'Runner List'!$B$3:$O$505,9,FALSE),0)</f>
        <v>Thai</v>
      </c>
      <c r="H23" s="25" t="str">
        <f>IFERROR(VLOOKUP(B23,'Runner List'!$B$3:$O$505,10,FALSE),0)</f>
        <v>MKT33</v>
      </c>
      <c r="I23" s="24">
        <f ca="1">IFERROR(VLOOKUP(B23,'(2)Check In'!$B$4:$I$848,7,FALSE),0)</f>
        <v>45550.22648946759</v>
      </c>
      <c r="J23" s="24">
        <f>IFERROR(VLOOKUP(B23,'(2)Check In'!$B$4:$I$848,8,FALSE),0)</f>
        <v>0.22916666666666666</v>
      </c>
      <c r="K23" s="24">
        <f t="shared" ca="1" si="0"/>
        <v>45550.468950347225</v>
      </c>
      <c r="L23" s="127">
        <f t="shared" ca="1" si="1"/>
        <v>45550.239783680561</v>
      </c>
      <c r="M23" s="142">
        <f>COUNTIFS($H$3:H23,H23)</f>
        <v>20</v>
      </c>
      <c r="N23" s="142">
        <f>COUNTIFS(F$3:$F23,F23,H$3:$H23,H23,E$3:$E23,E23)</f>
        <v>1</v>
      </c>
      <c r="O23" s="142">
        <f>COUNTIFS($F$3:F23,F23,$H$3:H23,H23)</f>
        <v>11</v>
      </c>
    </row>
    <row r="24" spans="1:15" ht="36" customHeight="1">
      <c r="A24" s="28">
        <v>21</v>
      </c>
      <c r="B24" s="54">
        <v>3353</v>
      </c>
      <c r="C24" s="61" t="str">
        <f>IFERROR(VLOOKUP(B24,'Runner List'!$B$3:$O$505,5,FALSE),0)</f>
        <v>MANOO SUKTHANG</v>
      </c>
      <c r="D24" s="129" t="str">
        <f>IFERROR(VLOOKUP(B24,'Runner List'!$B$3:$O$505,6,FALSE),0)</f>
        <v>MANOO.S</v>
      </c>
      <c r="E24" s="8" t="str">
        <f>IFERROR(VLOOKUP(B24,'Runner List'!$B$3:$O$505,7,FALSE),0)</f>
        <v>Male</v>
      </c>
      <c r="F24" s="25" t="str">
        <f>IFERROR(VLOOKUP(B24,'Runner List'!$B$3:$O$505,8,FALSE),0)</f>
        <v>40-49</v>
      </c>
      <c r="G24" s="26" t="str">
        <f>IFERROR(VLOOKUP(B24,'Runner List'!$B$3:$O$505,9,FALSE),0)</f>
        <v>Thai</v>
      </c>
      <c r="H24" s="25" t="str">
        <f>IFERROR(VLOOKUP(B24,'Runner List'!$B$3:$O$505,10,FALSE),0)</f>
        <v>MKT33</v>
      </c>
      <c r="I24" s="24">
        <f ca="1">IFERROR(VLOOKUP(B24,'(2)Check In'!$B$4:$I$848,7,FALSE),0)</f>
        <v>45550.226841319447</v>
      </c>
      <c r="J24" s="24">
        <f>IFERROR(VLOOKUP(B24,'(2)Check In'!$B$4:$I$848,8,FALSE),0)</f>
        <v>0.22916666666666666</v>
      </c>
      <c r="K24" s="24">
        <f t="shared" ca="1" si="0"/>
        <v>45550.471474305552</v>
      </c>
      <c r="L24" s="127">
        <f t="shared" ca="1" si="1"/>
        <v>45550.242307638888</v>
      </c>
      <c r="M24" s="142">
        <f>COUNTIFS($H$3:H24,H24)</f>
        <v>21</v>
      </c>
      <c r="N24" s="142">
        <f>COUNTIFS(F$3:$F24,F24,H$3:$H24,H24,E$3:$E24,E24)</f>
        <v>6</v>
      </c>
      <c r="O24" s="142">
        <f>COUNTIFS($F$3:F24,F24,$H$3:H24,H24)</f>
        <v>6</v>
      </c>
    </row>
    <row r="25" spans="1:15" ht="36" customHeight="1">
      <c r="A25" s="29">
        <v>22</v>
      </c>
      <c r="B25" s="54">
        <v>3382</v>
      </c>
      <c r="C25" s="61" t="str">
        <f>IFERROR(VLOOKUP(B25,'Runner List'!$B$3:$O$505,5,FALSE),0)</f>
        <v>KHATTIYA HOMTHONG</v>
      </c>
      <c r="D25" s="129" t="str">
        <f>IFERROR(VLOOKUP(B25,'Runner List'!$B$3:$O$505,6,FALSE),0)</f>
        <v>KHATTIYA.H</v>
      </c>
      <c r="E25" s="8" t="str">
        <f>IFERROR(VLOOKUP(B25,'Runner List'!$B$3:$O$505,7,FALSE),0)</f>
        <v>Female</v>
      </c>
      <c r="F25" s="25" t="str">
        <f>IFERROR(VLOOKUP(B25,'Runner List'!$B$3:$O$505,8,FALSE),0)</f>
        <v>20-39</v>
      </c>
      <c r="G25" s="26" t="str">
        <f>IFERROR(VLOOKUP(B25,'Runner List'!$B$3:$O$505,9,FALSE),0)</f>
        <v>Thai</v>
      </c>
      <c r="H25" s="25" t="str">
        <f>IFERROR(VLOOKUP(B25,'Runner List'!$B$3:$O$505,10,FALSE),0)</f>
        <v>MKT33</v>
      </c>
      <c r="I25" s="24">
        <f ca="1">IFERROR(VLOOKUP(B25,'(2)Check In'!$B$4:$I$848,7,FALSE),0)</f>
        <v>45550.226983101849</v>
      </c>
      <c r="J25" s="24">
        <f>IFERROR(VLOOKUP(B25,'(2)Check In'!$B$4:$I$848,8,FALSE),0)</f>
        <v>0.22916666666666666</v>
      </c>
      <c r="K25" s="24">
        <f t="shared" ca="1" si="0"/>
        <v>45550.472867708333</v>
      </c>
      <c r="L25" s="127">
        <f t="shared" ca="1" si="1"/>
        <v>45550.243701041669</v>
      </c>
      <c r="M25" s="142">
        <f>COUNTIFS($H$3:H25,H25)</f>
        <v>22</v>
      </c>
      <c r="N25" s="142">
        <f>COUNTIFS(F$3:$F25,F25,H$3:$H25,H25,E$3:$E25,E25)</f>
        <v>2</v>
      </c>
      <c r="O25" s="142">
        <f>COUNTIFS($F$3:F25,F25,$H$3:H25,H25)</f>
        <v>12</v>
      </c>
    </row>
    <row r="26" spans="1:15" ht="36" customHeight="1">
      <c r="A26" s="28">
        <v>23</v>
      </c>
      <c r="B26" s="54">
        <v>3385</v>
      </c>
      <c r="C26" s="61" t="str">
        <f>IFERROR(VLOOKUP(B26,'Runner List'!$B$3:$O$505,5,FALSE),0)</f>
        <v>UDOM YAVILAS</v>
      </c>
      <c r="D26" s="129" t="str">
        <f>IFERROR(VLOOKUP(B26,'Runner List'!$B$3:$O$505,6,FALSE),0)</f>
        <v>UDOM.Y</v>
      </c>
      <c r="E26" s="8" t="str">
        <f>IFERROR(VLOOKUP(B26,'Runner List'!$B$3:$O$505,7,FALSE),0)</f>
        <v>Male</v>
      </c>
      <c r="F26" s="25" t="str">
        <f>IFERROR(VLOOKUP(B26,'Runner List'!$B$3:$O$505,8,FALSE),0)</f>
        <v>50-59</v>
      </c>
      <c r="G26" s="26" t="str">
        <f>IFERROR(VLOOKUP(B26,'Runner List'!$B$3:$O$505,9,FALSE),0)</f>
        <v>Thai</v>
      </c>
      <c r="H26" s="25" t="str">
        <f>IFERROR(VLOOKUP(B26,'Runner List'!$B$3:$O$505,10,FALSE),0)</f>
        <v>MKT33</v>
      </c>
      <c r="I26" s="24">
        <f ca="1">IFERROR(VLOOKUP(B26,'(2)Check In'!$B$4:$I$848,7,FALSE),0)</f>
        <v>45550.228602777781</v>
      </c>
      <c r="J26" s="24">
        <f>IFERROR(VLOOKUP(B26,'(2)Check In'!$B$4:$I$848,8,FALSE),0)</f>
        <v>0.22916666666666666</v>
      </c>
      <c r="K26" s="24">
        <f t="shared" ca="1" si="0"/>
        <v>45550.473860763886</v>
      </c>
      <c r="L26" s="127">
        <f t="shared" ca="1" si="1"/>
        <v>45550.244694097222</v>
      </c>
      <c r="M26" s="142">
        <f>COUNTIFS($H$3:H26,H26)</f>
        <v>23</v>
      </c>
      <c r="N26" s="142">
        <f>COUNTIFS(F$3:$F26,F26,H$3:$H26,H26,E$3:$E26,E26)</f>
        <v>4</v>
      </c>
      <c r="O26" s="142">
        <f>COUNTIFS($F$3:F26,F26,$H$3:H26,H26)</f>
        <v>4</v>
      </c>
    </row>
    <row r="27" spans="1:15" ht="36" customHeight="1">
      <c r="A27" s="29">
        <v>24</v>
      </c>
      <c r="B27" s="54">
        <v>3384</v>
      </c>
      <c r="C27" s="61" t="str">
        <f>IFERROR(VLOOKUP(B27,'Runner List'!$B$3:$O$505,5,FALSE),0)</f>
        <v>SOPHA USUMANI</v>
      </c>
      <c r="D27" s="129" t="str">
        <f>IFERROR(VLOOKUP(B27,'Runner List'!$B$3:$O$505,6,FALSE),0)</f>
        <v>SOPHA.U</v>
      </c>
      <c r="E27" s="8" t="str">
        <f>IFERROR(VLOOKUP(B27,'Runner List'!$B$3:$O$505,7,FALSE),0)</f>
        <v>Female</v>
      </c>
      <c r="F27" s="25" t="str">
        <f>IFERROR(VLOOKUP(B27,'Runner List'!$B$3:$O$505,8,FALSE),0)</f>
        <v>40-49</v>
      </c>
      <c r="G27" s="26" t="str">
        <f>IFERROR(VLOOKUP(B27,'Runner List'!$B$3:$O$505,9,FALSE),0)</f>
        <v>Thai</v>
      </c>
      <c r="H27" s="25" t="str">
        <f>IFERROR(VLOOKUP(B27,'Runner List'!$B$3:$O$505,10,FALSE),0)</f>
        <v>MKT33</v>
      </c>
      <c r="I27" s="24">
        <f ca="1">IFERROR(VLOOKUP(B27,'(2)Check In'!$B$4:$I$848,7,FALSE),0)</f>
        <v>45550.228249652777</v>
      </c>
      <c r="J27" s="24">
        <f>IFERROR(VLOOKUP(B27,'(2)Check In'!$B$4:$I$848,8,FALSE),0)</f>
        <v>0.22916666666666666</v>
      </c>
      <c r="K27" s="24">
        <f t="shared" ca="1" si="0"/>
        <v>45550.47428761574</v>
      </c>
      <c r="L27" s="127">
        <f t="shared" ca="1" si="1"/>
        <v>45550.245120949075</v>
      </c>
      <c r="M27" s="142">
        <f>COUNTIFS($H$3:H27,H27)</f>
        <v>24</v>
      </c>
      <c r="N27" s="142">
        <f>COUNTIFS(F$3:$F27,F27,H$3:$H27,H27,E$3:$E27,E27)</f>
        <v>1</v>
      </c>
      <c r="O27" s="142">
        <f>COUNTIFS($F$3:F27,F27,$H$3:H27,H27)</f>
        <v>7</v>
      </c>
    </row>
    <row r="28" spans="1:15" ht="36" customHeight="1">
      <c r="A28" s="28">
        <v>25</v>
      </c>
      <c r="B28" s="54">
        <v>5046</v>
      </c>
      <c r="C28" s="61" t="str">
        <f>IFERROR(VLOOKUP(B28,'Runner List'!$B$3:$O$505,5,FALSE),0)</f>
        <v>PATTHANAPICJI TRINWATTHAWORN</v>
      </c>
      <c r="D28" s="129" t="str">
        <f>IFERROR(VLOOKUP(B28,'Runner List'!$B$3:$O$505,6,FALSE),0)</f>
        <v>PATTHANAPICJI.T</v>
      </c>
      <c r="E28" s="8" t="str">
        <f>IFERROR(VLOOKUP(B28,'Runner List'!$B$3:$O$505,7,FALSE),0)</f>
        <v>Male</v>
      </c>
      <c r="F28" s="25" t="str">
        <f>IFERROR(VLOOKUP(B28,'Runner List'!$B$3:$O$505,8,FALSE),0)</f>
        <v>40-49</v>
      </c>
      <c r="G28" s="26" t="str">
        <f>IFERROR(VLOOKUP(B28,'Runner List'!$B$3:$O$505,9,FALSE),0)</f>
        <v>Thai</v>
      </c>
      <c r="H28" s="25" t="str">
        <f>IFERROR(VLOOKUP(B28,'Runner List'!$B$3:$O$505,10,FALSE),0)</f>
        <v>MKT50</v>
      </c>
      <c r="I28" s="24">
        <f ca="1">IFERROR(VLOOKUP(B28,'(2)Check In'!$B$4:$I$848,7,FALSE),0)</f>
        <v>45550.204164467592</v>
      </c>
      <c r="J28" s="24">
        <f>IFERROR(VLOOKUP(B28,'(2)Check In'!$B$4:$I$848,8,FALSE),0)</f>
        <v>0.20833333333333334</v>
      </c>
      <c r="K28" s="24">
        <f t="shared" ca="1" si="0"/>
        <v>45550.488074768517</v>
      </c>
      <c r="L28" s="127">
        <f t="shared" ca="1" si="1"/>
        <v>45550.279741435181</v>
      </c>
      <c r="M28" s="142">
        <f>COUNTIFS($H$3:H28,H28)</f>
        <v>1</v>
      </c>
      <c r="N28" s="142">
        <f>COUNTIFS(F$3:$F28,F28,H$3:$H28,H28,E$3:$E28,E28)</f>
        <v>1</v>
      </c>
      <c r="O28" s="142">
        <f>COUNTIFS($F$3:F28,F28,$H$3:H28,H28)</f>
        <v>1</v>
      </c>
    </row>
    <row r="29" spans="1:15" ht="36" customHeight="1">
      <c r="A29" s="29">
        <v>26</v>
      </c>
      <c r="B29" s="54">
        <v>3396</v>
      </c>
      <c r="C29" s="61" t="str">
        <f>IFERROR(VLOOKUP(B29,'Runner List'!$B$3:$O$505,5,FALSE),0)</f>
        <v>PHATCHARIDA THAEPTHONG</v>
      </c>
      <c r="D29" s="129" t="str">
        <f>IFERROR(VLOOKUP(B29,'Runner List'!$B$3:$O$505,6,FALSE),0)</f>
        <v>PHATCHARIDA.T</v>
      </c>
      <c r="E29" s="8" t="str">
        <f>IFERROR(VLOOKUP(B29,'Runner List'!$B$3:$O$505,7,FALSE),0)</f>
        <v>Female</v>
      </c>
      <c r="F29" s="25" t="str">
        <f>IFERROR(VLOOKUP(B29,'Runner List'!$B$3:$O$505,8,FALSE),0)</f>
        <v>20-39</v>
      </c>
      <c r="G29" s="26" t="str">
        <f>IFERROR(VLOOKUP(B29,'Runner List'!$B$3:$O$505,9,FALSE),0)</f>
        <v>Thai</v>
      </c>
      <c r="H29" s="25" t="str">
        <f>IFERROR(VLOOKUP(B29,'Runner List'!$B$3:$O$505,10,FALSE),0)</f>
        <v>MKT33</v>
      </c>
      <c r="I29" s="24">
        <f ca="1">IFERROR(VLOOKUP(B29,'(2)Check In'!$B$4:$I$848,7,FALSE),0)</f>
        <v>45550.228030208331</v>
      </c>
      <c r="J29" s="24">
        <f>IFERROR(VLOOKUP(B29,'(2)Check In'!$B$4:$I$848,8,FALSE),0)</f>
        <v>0.22916666666666666</v>
      </c>
      <c r="K29" s="24">
        <f t="shared" ca="1" si="0"/>
        <v>45550.488109259262</v>
      </c>
      <c r="L29" s="127">
        <f t="shared" ca="1" si="1"/>
        <v>45550.258942592598</v>
      </c>
      <c r="M29" s="142">
        <f>COUNTIFS($H$3:H29,H29)</f>
        <v>25</v>
      </c>
      <c r="N29" s="142">
        <f>COUNTIFS(F$3:$F29,F29,H$3:$H29,H29,E$3:$E29,E29)</f>
        <v>3</v>
      </c>
      <c r="O29" s="142">
        <f>COUNTIFS($F$3:F29,F29,$H$3:H29,H29)</f>
        <v>13</v>
      </c>
    </row>
    <row r="30" spans="1:15" ht="36" customHeight="1">
      <c r="A30" s="28">
        <v>27</v>
      </c>
      <c r="B30" s="54">
        <v>3355</v>
      </c>
      <c r="C30" s="61" t="str">
        <f>IFERROR(VLOOKUP(B30,'Runner List'!$B$3:$O$505,5,FALSE),0)</f>
        <v>TORPONG MANSUMRUATKAN</v>
      </c>
      <c r="D30" s="129" t="str">
        <f>IFERROR(VLOOKUP(B30,'Runner List'!$B$3:$O$505,6,FALSE),0)</f>
        <v>TORPONG.M</v>
      </c>
      <c r="E30" s="8" t="str">
        <f>IFERROR(VLOOKUP(B30,'Runner List'!$B$3:$O$505,7,FALSE),0)</f>
        <v>Male</v>
      </c>
      <c r="F30" s="25" t="str">
        <f>IFERROR(VLOOKUP(B30,'Runner List'!$B$3:$O$505,8,FALSE),0)</f>
        <v>20-39</v>
      </c>
      <c r="G30" s="26" t="str">
        <f>IFERROR(VLOOKUP(B30,'Runner List'!$B$3:$O$505,9,FALSE),0)</f>
        <v>Thai</v>
      </c>
      <c r="H30" s="25" t="str">
        <f>IFERROR(VLOOKUP(B30,'Runner List'!$B$3:$O$505,10,FALSE),0)</f>
        <v>MKT33</v>
      </c>
      <c r="I30" s="24">
        <f ca="1">IFERROR(VLOOKUP(B30,'(2)Check In'!$B$4:$I$848,7,FALSE),0)</f>
        <v>45550.227204976851</v>
      </c>
      <c r="J30" s="24">
        <f>IFERROR(VLOOKUP(B30,'(2)Check In'!$B$4:$I$848,8,FALSE),0)</f>
        <v>0.22916666666666666</v>
      </c>
      <c r="K30" s="24">
        <f t="shared" ca="1" si="0"/>
        <v>45550.492051967594</v>
      </c>
      <c r="L30" s="127">
        <f t="shared" ca="1" si="1"/>
        <v>45550.26288530093</v>
      </c>
      <c r="M30" s="142">
        <f>COUNTIFS($H$3:H30,H30)</f>
        <v>26</v>
      </c>
      <c r="N30" s="142">
        <f>COUNTIFS(F$3:$F30,F30,H$3:$H30,H30,E$3:$E30,E30)</f>
        <v>11</v>
      </c>
      <c r="O30" s="142">
        <f>COUNTIFS($F$3:F30,F30,$H$3:H30,H30)</f>
        <v>14</v>
      </c>
    </row>
    <row r="31" spans="1:15" ht="36" customHeight="1">
      <c r="A31" s="29">
        <v>28</v>
      </c>
      <c r="B31" s="54">
        <v>3365</v>
      </c>
      <c r="C31" s="61" t="str">
        <f>IFERROR(VLOOKUP(B31,'Runner List'!$B$3:$O$505,5,FALSE),0)</f>
        <v>WILLIAM BJ SCHULTE</v>
      </c>
      <c r="D31" s="129" t="str">
        <f>IFERROR(VLOOKUP(B31,'Runner List'!$B$3:$O$505,6,FALSE),0)</f>
        <v>WILLIAM BJ SCHULTE</v>
      </c>
      <c r="E31" s="8" t="str">
        <f>IFERROR(VLOOKUP(B31,'Runner List'!$B$3:$O$505,7,FALSE),0)</f>
        <v>Male</v>
      </c>
      <c r="F31" s="25" t="str">
        <f>IFERROR(VLOOKUP(B31,'Runner List'!$B$3:$O$505,8,FALSE),0)</f>
        <v>40-49</v>
      </c>
      <c r="G31" s="26" t="str">
        <f>IFERROR(VLOOKUP(B31,'Runner List'!$B$3:$O$505,9,FALSE),0)</f>
        <v>USA</v>
      </c>
      <c r="H31" s="25" t="str">
        <f>IFERROR(VLOOKUP(B31,'Runner List'!$B$3:$O$505,10,FALSE),0)</f>
        <v>MKT33</v>
      </c>
      <c r="I31" s="24">
        <f ca="1">IFERROR(VLOOKUP(B31,'(2)Check In'!$B$4:$I$848,7,FALSE),0)</f>
        <v>45550.226950810182</v>
      </c>
      <c r="J31" s="24">
        <f>IFERROR(VLOOKUP(B31,'(2)Check In'!$B$4:$I$848,8,FALSE),0)</f>
        <v>0.22916666666666666</v>
      </c>
      <c r="K31" s="24">
        <f t="shared" ca="1" si="0"/>
        <v>45550.495072106482</v>
      </c>
      <c r="L31" s="127">
        <f t="shared" ca="1" si="1"/>
        <v>45550.265905439817</v>
      </c>
      <c r="M31" s="142">
        <f>COUNTIFS($H$3:H31,H31)</f>
        <v>27</v>
      </c>
      <c r="N31" s="142">
        <f>COUNTIFS(F$3:$F31,F31,H$3:$H31,H31,E$3:$E31,E31)</f>
        <v>7</v>
      </c>
      <c r="O31" s="142">
        <f>COUNTIFS($F$3:F31,F31,$H$3:H31,H31)</f>
        <v>8</v>
      </c>
    </row>
    <row r="32" spans="1:15" ht="36" customHeight="1">
      <c r="A32" s="28">
        <v>29</v>
      </c>
      <c r="B32" s="54">
        <v>3358</v>
      </c>
      <c r="C32" s="61" t="str">
        <f>IFERROR(VLOOKUP(B32,'Runner List'!$B$3:$O$505,5,FALSE),0)</f>
        <v>SIRIWAN PHOMIN</v>
      </c>
      <c r="D32" s="129" t="str">
        <f>IFERROR(VLOOKUP(B32,'Runner List'!$B$3:$O$505,6,FALSE),0)</f>
        <v>SIRIWAN.P</v>
      </c>
      <c r="E32" s="8" t="str">
        <f>IFERROR(VLOOKUP(B32,'Runner List'!$B$3:$O$505,7,FALSE),0)</f>
        <v>LGBTIQAN+</v>
      </c>
      <c r="F32" s="25" t="str">
        <f>IFERROR(VLOOKUP(B32,'Runner List'!$B$3:$O$505,8,FALSE),0)</f>
        <v>20-39</v>
      </c>
      <c r="G32" s="26" t="str">
        <f>IFERROR(VLOOKUP(B32,'Runner List'!$B$3:$O$505,9,FALSE),0)</f>
        <v>Thai</v>
      </c>
      <c r="H32" s="25" t="str">
        <f>IFERROR(VLOOKUP(B32,'Runner List'!$B$3:$O$505,10,FALSE),0)</f>
        <v>MKT33</v>
      </c>
      <c r="I32" s="24">
        <f ca="1">IFERROR(VLOOKUP(B32,'(2)Check In'!$B$4:$I$848,7,FALSE),0)</f>
        <v>45550.226709374998</v>
      </c>
      <c r="J32" s="24">
        <f>IFERROR(VLOOKUP(B32,'(2)Check In'!$B$4:$I$848,8,FALSE),0)</f>
        <v>0.22916666666666666</v>
      </c>
      <c r="K32" s="24">
        <f t="shared" ca="1" si="0"/>
        <v>45550.497395023151</v>
      </c>
      <c r="L32" s="127">
        <f t="shared" ca="1" si="1"/>
        <v>45550.268228356486</v>
      </c>
      <c r="M32" s="142">
        <f>COUNTIFS($H$3:H32,H32)</f>
        <v>28</v>
      </c>
      <c r="N32" s="142">
        <f>COUNTIFS(F$3:$F32,F32,H$3:$H32,H32,E$3:$E32,E32)</f>
        <v>1</v>
      </c>
      <c r="O32" s="142">
        <f>COUNTIFS($F$3:F32,F32,$H$3:H32,H32)</f>
        <v>15</v>
      </c>
    </row>
    <row r="33" spans="1:15" ht="36" customHeight="1">
      <c r="A33" s="29">
        <v>30</v>
      </c>
      <c r="B33" s="54">
        <v>3341</v>
      </c>
      <c r="C33" s="61" t="str">
        <f>IFERROR(VLOOKUP(B33,'Runner List'!$B$3:$O$505,5,FALSE),0)</f>
        <v>KAMOL WATTANAPANICH</v>
      </c>
      <c r="D33" s="129" t="str">
        <f>IFERROR(VLOOKUP(B33,'Runner List'!$B$3:$O$505,6,FALSE),0)</f>
        <v>KAMOL.W</v>
      </c>
      <c r="E33" s="8" t="str">
        <f>IFERROR(VLOOKUP(B33,'Runner List'!$B$3:$O$505,7,FALSE),0)</f>
        <v>Male</v>
      </c>
      <c r="F33" s="25" t="str">
        <f>IFERROR(VLOOKUP(B33,'Runner List'!$B$3:$O$505,8,FALSE),0)</f>
        <v>50-59</v>
      </c>
      <c r="G33" s="26" t="str">
        <f>IFERROR(VLOOKUP(B33,'Runner List'!$B$3:$O$505,9,FALSE),0)</f>
        <v>Thai</v>
      </c>
      <c r="H33" s="25" t="str">
        <f>IFERROR(VLOOKUP(B33,'Runner List'!$B$3:$O$505,10,FALSE),0)</f>
        <v>MKT33</v>
      </c>
      <c r="I33" s="24">
        <f ca="1">IFERROR(VLOOKUP(B33,'(2)Check In'!$B$4:$I$848,7,FALSE),0)</f>
        <v>45550.226454629628</v>
      </c>
      <c r="J33" s="24">
        <f>IFERROR(VLOOKUP(B33,'(2)Check In'!$B$4:$I$848,8,FALSE),0)</f>
        <v>0.22916666666666666</v>
      </c>
      <c r="K33" s="24">
        <f t="shared" ca="1" si="0"/>
        <v>45550.49752164352</v>
      </c>
      <c r="L33" s="127">
        <f t="shared" ca="1" si="1"/>
        <v>45550.268354976855</v>
      </c>
      <c r="M33" s="142">
        <f>COUNTIFS($H$3:H33,H33)</f>
        <v>29</v>
      </c>
      <c r="N33" s="142">
        <f>COUNTIFS(F$3:$F33,F33,H$3:$H33,H33,E$3:$E33,E33)</f>
        <v>5</v>
      </c>
      <c r="O33" s="142">
        <f>COUNTIFS($F$3:F33,F33,$H$3:H33,H33)</f>
        <v>5</v>
      </c>
    </row>
    <row r="34" spans="1:15" ht="36" customHeight="1">
      <c r="A34" s="28">
        <v>31</v>
      </c>
      <c r="B34" s="54">
        <v>3394</v>
      </c>
      <c r="C34" s="61" t="str">
        <f>IFERROR(VLOOKUP(B34,'Runner List'!$B$3:$O$505,5,FALSE),0)</f>
        <v>CHOTIPHAT SRITANAWARAKIT</v>
      </c>
      <c r="D34" s="129" t="str">
        <f>IFERROR(VLOOKUP(B34,'Runner List'!$B$3:$O$505,6,FALSE),0)</f>
        <v>CHOTIPHAT.S</v>
      </c>
      <c r="E34" s="8" t="str">
        <f>IFERROR(VLOOKUP(B34,'Runner List'!$B$3:$O$505,7,FALSE),0)</f>
        <v>Male</v>
      </c>
      <c r="F34" s="25" t="str">
        <f>IFERROR(VLOOKUP(B34,'Runner List'!$B$3:$O$505,8,FALSE),0)</f>
        <v>20-39</v>
      </c>
      <c r="G34" s="26" t="str">
        <f>IFERROR(VLOOKUP(B34,'Runner List'!$B$3:$O$505,9,FALSE),0)</f>
        <v>Thai</v>
      </c>
      <c r="H34" s="25" t="str">
        <f>IFERROR(VLOOKUP(B34,'Runner List'!$B$3:$O$505,10,FALSE),0)</f>
        <v>MKT33</v>
      </c>
      <c r="I34" s="24">
        <f ca="1">IFERROR(VLOOKUP(B34,'(2)Check In'!$B$4:$I$848,7,FALSE),0)</f>
        <v>45550.227985300924</v>
      </c>
      <c r="J34" s="24">
        <f>IFERROR(VLOOKUP(B34,'(2)Check In'!$B$4:$I$848,8,FALSE),0)</f>
        <v>0.22916666666666666</v>
      </c>
      <c r="K34" s="24">
        <f t="shared" ca="1" si="0"/>
        <v>45550.498166898149</v>
      </c>
      <c r="L34" s="127">
        <f t="shared" ca="1" si="1"/>
        <v>45550.269000231485</v>
      </c>
      <c r="M34" s="142">
        <f>COUNTIFS($H$3:H34,H34)</f>
        <v>30</v>
      </c>
      <c r="N34" s="142">
        <f>COUNTIFS(F$3:$F34,F34,H$3:$H34,H34,E$3:$E34,E34)</f>
        <v>12</v>
      </c>
      <c r="O34" s="142">
        <f>COUNTIFS($F$3:F34,F34,$H$3:H34,H34)</f>
        <v>16</v>
      </c>
    </row>
    <row r="35" spans="1:15" ht="36" customHeight="1">
      <c r="A35" s="29">
        <v>32</v>
      </c>
      <c r="B35" s="54">
        <v>3334</v>
      </c>
      <c r="C35" s="61" t="str">
        <f>IFERROR(VLOOKUP(B35,'Runner List'!$B$3:$O$505,5,FALSE),0)</f>
        <v>KAMONRUT THONGRAK</v>
      </c>
      <c r="D35" s="129" t="str">
        <f>IFERROR(VLOOKUP(B35,'Runner List'!$B$3:$O$505,6,FALSE),0)</f>
        <v>KAMONRUT.T</v>
      </c>
      <c r="E35" s="8" t="str">
        <f>IFERROR(VLOOKUP(B35,'Runner List'!$B$3:$O$505,7,FALSE),0)</f>
        <v>Female</v>
      </c>
      <c r="F35" s="25" t="str">
        <f>IFERROR(VLOOKUP(B35,'Runner List'!$B$3:$O$505,8,FALSE),0)</f>
        <v>20-39</v>
      </c>
      <c r="G35" s="26" t="str">
        <f>IFERROR(VLOOKUP(B35,'Runner List'!$B$3:$O$505,9,FALSE),0)</f>
        <v>Thai</v>
      </c>
      <c r="H35" s="25" t="str">
        <f>IFERROR(VLOOKUP(B35,'Runner List'!$B$3:$O$505,10,FALSE),0)</f>
        <v>MKT33</v>
      </c>
      <c r="I35" s="24">
        <f ca="1">IFERROR(VLOOKUP(B35,'(2)Check In'!$B$4:$I$848,7,FALSE),0)</f>
        <v>45550.227538541665</v>
      </c>
      <c r="J35" s="24">
        <f>IFERROR(VLOOKUP(B35,'(2)Check In'!$B$4:$I$848,8,FALSE),0)</f>
        <v>0.22916666666666666</v>
      </c>
      <c r="K35" s="24">
        <f t="shared" ref="K35:K68" ca="1" si="2">IF(B35="","",IF(K35="",NOW(),K35))</f>
        <v>45550.500181249998</v>
      </c>
      <c r="L35" s="127">
        <f t="shared" ca="1" si="1"/>
        <v>45550.271014583333</v>
      </c>
      <c r="M35" s="142">
        <f>COUNTIFS($H$3:H35,H35)</f>
        <v>31</v>
      </c>
      <c r="N35" s="142">
        <f>COUNTIFS(F$3:$F35,F35,H$3:$H35,H35,E$3:$E35,E35)</f>
        <v>4</v>
      </c>
      <c r="O35" s="142">
        <f>COUNTIFS($F$3:F35,F35,$H$3:H35,H35)</f>
        <v>17</v>
      </c>
    </row>
    <row r="36" spans="1:15" ht="36" customHeight="1">
      <c r="A36" s="28">
        <v>33</v>
      </c>
      <c r="B36" s="54">
        <v>3333</v>
      </c>
      <c r="C36" s="61" t="str">
        <f>IFERROR(VLOOKUP(B36,'Runner List'!$B$3:$O$505,5,FALSE),0)</f>
        <v>SOMCHID KANTHAYA</v>
      </c>
      <c r="D36" s="129" t="str">
        <f>IFERROR(VLOOKUP(B36,'Runner List'!$B$3:$O$505,6,FALSE),0)</f>
        <v>SOMCHID.K</v>
      </c>
      <c r="E36" s="8" t="str">
        <f>IFERROR(VLOOKUP(B36,'Runner List'!$B$3:$O$505,7,FALSE),0)</f>
        <v>Male</v>
      </c>
      <c r="F36" s="25" t="str">
        <f>IFERROR(VLOOKUP(B36,'Runner List'!$B$3:$O$505,8,FALSE),0)</f>
        <v>50-59</v>
      </c>
      <c r="G36" s="26" t="str">
        <f>IFERROR(VLOOKUP(B36,'Runner List'!$B$3:$O$505,9,FALSE),0)</f>
        <v>Thai</v>
      </c>
      <c r="H36" s="25" t="str">
        <f>IFERROR(VLOOKUP(B36,'Runner List'!$B$3:$O$505,10,FALSE),0)</f>
        <v>MKT33</v>
      </c>
      <c r="I36" s="24">
        <f ca="1">IFERROR(VLOOKUP(B36,'(2)Check In'!$B$4:$I$848,7,FALSE),0)</f>
        <v>45550.231136689814</v>
      </c>
      <c r="J36" s="24">
        <f>IFERROR(VLOOKUP(B36,'(2)Check In'!$B$4:$I$848,8,FALSE),0)</f>
        <v>0.22916666666666666</v>
      </c>
      <c r="K36" s="24">
        <f t="shared" ca="1" si="2"/>
        <v>45550.513115856484</v>
      </c>
      <c r="L36" s="127">
        <f t="shared" ca="1" si="1"/>
        <v>45550.283949189819</v>
      </c>
      <c r="M36" s="142">
        <f>COUNTIFS($H$3:H36,H36)</f>
        <v>32</v>
      </c>
      <c r="N36" s="142">
        <f>COUNTIFS(F$3:$F36,F36,H$3:$H36,H36,E$3:$E36,E36)</f>
        <v>6</v>
      </c>
      <c r="O36" s="142">
        <f>COUNTIFS($F$3:F36,F36,$H$3:H36,H36)</f>
        <v>6</v>
      </c>
    </row>
    <row r="37" spans="1:15" ht="36" customHeight="1">
      <c r="A37" s="29">
        <v>34</v>
      </c>
      <c r="B37" s="54">
        <v>3380</v>
      </c>
      <c r="C37" s="61" t="str">
        <f>IFERROR(VLOOKUP(B37,'Runner List'!$B$3:$O$505,5,FALSE),0)</f>
        <v>AIYADA KULTAKHAM</v>
      </c>
      <c r="D37" s="129" t="str">
        <f>IFERROR(VLOOKUP(B37,'Runner List'!$B$3:$O$505,6,FALSE),0)</f>
        <v>AIYADA.K</v>
      </c>
      <c r="E37" s="8" t="str">
        <f>IFERROR(VLOOKUP(B37,'Runner List'!$B$3:$O$505,7,FALSE),0)</f>
        <v>Female</v>
      </c>
      <c r="F37" s="25" t="str">
        <f>IFERROR(VLOOKUP(B37,'Runner List'!$B$3:$O$505,8,FALSE),0)</f>
        <v>40-49</v>
      </c>
      <c r="G37" s="26" t="str">
        <f>IFERROR(VLOOKUP(B37,'Runner List'!$B$3:$O$505,9,FALSE),0)</f>
        <v>Thai</v>
      </c>
      <c r="H37" s="25" t="str">
        <f>IFERROR(VLOOKUP(B37,'Runner List'!$B$3:$O$505,10,FALSE),0)</f>
        <v>MKT33</v>
      </c>
      <c r="I37" s="24">
        <f ca="1">IFERROR(VLOOKUP(B37,'(2)Check In'!$B$4:$I$848,7,FALSE),0)</f>
        <v>45550.227752314815</v>
      </c>
      <c r="J37" s="24">
        <f>IFERROR(VLOOKUP(B37,'(2)Check In'!$B$4:$I$848,8,FALSE),0)</f>
        <v>0.22916666666666666</v>
      </c>
      <c r="K37" s="24">
        <f t="shared" ca="1" si="2"/>
        <v>45550.515314004631</v>
      </c>
      <c r="L37" s="127">
        <f t="shared" ca="1" si="1"/>
        <v>45550.286147337967</v>
      </c>
      <c r="M37" s="142">
        <f>COUNTIFS($H$3:H37,H37)</f>
        <v>33</v>
      </c>
      <c r="N37" s="142">
        <f>COUNTIFS(F$3:$F37,F37,H$3:$H37,H37,E$3:$E37,E37)</f>
        <v>2</v>
      </c>
      <c r="O37" s="142">
        <f>COUNTIFS($F$3:F37,F37,$H$3:H37,H37)</f>
        <v>9</v>
      </c>
    </row>
    <row r="38" spans="1:15" ht="36" customHeight="1">
      <c r="A38" s="28">
        <v>35</v>
      </c>
      <c r="B38" s="54">
        <v>3352</v>
      </c>
      <c r="C38" s="61" t="str">
        <f>IFERROR(VLOOKUP(B38,'Runner List'!$B$3:$O$505,5,FALSE),0)</f>
        <v>NISA KHAMWONGSA</v>
      </c>
      <c r="D38" s="129" t="str">
        <f>IFERROR(VLOOKUP(B38,'Runner List'!$B$3:$O$505,6,FALSE),0)</f>
        <v>NISA.K</v>
      </c>
      <c r="E38" s="8" t="str">
        <f>IFERROR(VLOOKUP(B38,'Runner List'!$B$3:$O$505,7,FALSE),0)</f>
        <v>Female</v>
      </c>
      <c r="F38" s="25" t="str">
        <f>IFERROR(VLOOKUP(B38,'Runner List'!$B$3:$O$505,8,FALSE),0)</f>
        <v>50-59</v>
      </c>
      <c r="G38" s="26" t="str">
        <f>IFERROR(VLOOKUP(B38,'Runner List'!$B$3:$O$505,9,FALSE),0)</f>
        <v>Thai</v>
      </c>
      <c r="H38" s="25" t="str">
        <f>IFERROR(VLOOKUP(B38,'Runner List'!$B$3:$O$505,10,FALSE),0)</f>
        <v>MKT33</v>
      </c>
      <c r="I38" s="24">
        <f ca="1">IFERROR(VLOOKUP(B38,'(2)Check In'!$B$4:$I$848,7,FALSE),0)</f>
        <v>45550.227348032407</v>
      </c>
      <c r="J38" s="24">
        <f>IFERROR(VLOOKUP(B38,'(2)Check In'!$B$4:$I$848,8,FALSE),0)</f>
        <v>0.22916666666666666</v>
      </c>
      <c r="K38" s="24">
        <f t="shared" ca="1" si="2"/>
        <v>45550.516717939812</v>
      </c>
      <c r="L38" s="127">
        <f t="shared" ca="1" si="1"/>
        <v>45550.287551273148</v>
      </c>
      <c r="M38" s="142">
        <f>COUNTIFS($H$3:H38,H38)</f>
        <v>34</v>
      </c>
      <c r="N38" s="142">
        <f>COUNTIFS(F$3:$F38,F38,H$3:$H38,H38,E$3:$E38,E38)</f>
        <v>1</v>
      </c>
      <c r="O38" s="142">
        <f>COUNTIFS($F$3:F38,F38,$H$3:H38,H38)</f>
        <v>7</v>
      </c>
    </row>
    <row r="39" spans="1:15" ht="36" customHeight="1">
      <c r="A39" s="29">
        <v>36</v>
      </c>
      <c r="B39" s="54">
        <v>3317</v>
      </c>
      <c r="C39" s="61" t="str">
        <f>IFERROR(VLOOKUP(B39,'Runner List'!$B$3:$O$505,5,FALSE),0)</f>
        <v>PRAYAT JIT-AREE</v>
      </c>
      <c r="D39" s="129" t="str">
        <f>IFERROR(VLOOKUP(B39,'Runner List'!$B$3:$O$505,6,FALSE),0)</f>
        <v>PRAYAT.J</v>
      </c>
      <c r="E39" s="8" t="str">
        <f>IFERROR(VLOOKUP(B39,'Runner List'!$B$3:$O$505,7,FALSE),0)</f>
        <v>Male</v>
      </c>
      <c r="F39" s="25" t="str">
        <f>IFERROR(VLOOKUP(B39,'Runner List'!$B$3:$O$505,8,FALSE),0)</f>
        <v>50-59</v>
      </c>
      <c r="G39" s="26" t="str">
        <f>IFERROR(VLOOKUP(B39,'Runner List'!$B$3:$O$505,9,FALSE),0)</f>
        <v>Thai</v>
      </c>
      <c r="H39" s="25" t="str">
        <f>IFERROR(VLOOKUP(B39,'Runner List'!$B$3:$O$505,10,FALSE),0)</f>
        <v>MKT33</v>
      </c>
      <c r="I39" s="24">
        <f ca="1">IFERROR(VLOOKUP(B39,'(2)Check In'!$B$4:$I$848,7,FALSE),0)</f>
        <v>45550.227682060184</v>
      </c>
      <c r="J39" s="24">
        <f>IFERROR(VLOOKUP(B39,'(2)Check In'!$B$4:$I$848,8,FALSE),0)</f>
        <v>0.22916666666666666</v>
      </c>
      <c r="K39" s="24">
        <f t="shared" ca="1" si="2"/>
        <v>45550.52093564815</v>
      </c>
      <c r="L39" s="127">
        <f t="shared" ca="1" si="1"/>
        <v>45550.291768981486</v>
      </c>
      <c r="M39" s="142">
        <f>COUNTIFS($H$3:H39,H39)</f>
        <v>35</v>
      </c>
      <c r="N39" s="142">
        <f>COUNTIFS(F$3:$F39,F39,H$3:$H39,H39,E$3:$E39,E39)</f>
        <v>7</v>
      </c>
      <c r="O39" s="142">
        <f>COUNTIFS($F$3:F39,F39,$H$3:H39,H39)</f>
        <v>8</v>
      </c>
    </row>
    <row r="40" spans="1:15" ht="36" customHeight="1">
      <c r="A40" s="28">
        <v>37</v>
      </c>
      <c r="B40" s="54">
        <v>3397</v>
      </c>
      <c r="C40" s="61" t="str">
        <f>IFERROR(VLOOKUP(B40,'Runner List'!$B$3:$O$505,5,FALSE),0)</f>
        <v>VINCENT ARQUE</v>
      </c>
      <c r="D40" s="129" t="str">
        <f>IFERROR(VLOOKUP(B40,'Runner List'!$B$3:$O$505,6,FALSE),0)</f>
        <v>VINCENT.A</v>
      </c>
      <c r="E40" s="8" t="str">
        <f>IFERROR(VLOOKUP(B40,'Runner List'!$B$3:$O$505,7,FALSE),0)</f>
        <v>Male</v>
      </c>
      <c r="F40" s="25" t="str">
        <f>IFERROR(VLOOKUP(B40,'Runner List'!$B$3:$O$505,8,FALSE),0)</f>
        <v>20-39</v>
      </c>
      <c r="G40" s="26" t="str">
        <f>IFERROR(VLOOKUP(B40,'Runner List'!$B$3:$O$505,9,FALSE),0)</f>
        <v>Thai</v>
      </c>
      <c r="H40" s="25" t="str">
        <f>IFERROR(VLOOKUP(B40,'Runner List'!$B$3:$O$505,10,FALSE),0)</f>
        <v>MKT33</v>
      </c>
      <c r="I40" s="24">
        <f ca="1">IFERROR(VLOOKUP(B40,'(2)Check In'!$B$4:$I$848,7,FALSE),0)</f>
        <v>45550.22717662037</v>
      </c>
      <c r="J40" s="24">
        <f>IFERROR(VLOOKUP(B40,'(2)Check In'!$B$4:$I$848,8,FALSE),0)</f>
        <v>0.22916666666666666</v>
      </c>
      <c r="K40" s="24">
        <f t="shared" ca="1" si="2"/>
        <v>45550.52186724537</v>
      </c>
      <c r="L40" s="127">
        <f t="shared" ca="1" si="1"/>
        <v>45550.292700578706</v>
      </c>
      <c r="M40" s="142">
        <f>COUNTIFS($H$3:H40,H40)</f>
        <v>36</v>
      </c>
      <c r="N40" s="142">
        <f>COUNTIFS(F$3:$F40,F40,H$3:$H40,H40,E$3:$E40,E40)</f>
        <v>13</v>
      </c>
      <c r="O40" s="142">
        <f>COUNTIFS($F$3:F40,F40,$H$3:H40,H40)</f>
        <v>18</v>
      </c>
    </row>
    <row r="41" spans="1:15" ht="36" customHeight="1">
      <c r="A41" s="29">
        <v>38</v>
      </c>
      <c r="B41" s="54">
        <v>5028</v>
      </c>
      <c r="C41" s="61" t="str">
        <f>IFERROR(VLOOKUP(B41,'Runner List'!$B$3:$O$505,5,FALSE),0)</f>
        <v>ANEK PATTAMALUM</v>
      </c>
      <c r="D41" s="129" t="str">
        <f>IFERROR(VLOOKUP(B41,'Runner List'!$B$3:$O$505,6,FALSE),0)</f>
        <v>ANEK.P</v>
      </c>
      <c r="E41" s="8" t="str">
        <f>IFERROR(VLOOKUP(B41,'Runner List'!$B$3:$O$505,7,FALSE),0)</f>
        <v>Male</v>
      </c>
      <c r="F41" s="25" t="str">
        <f>IFERROR(VLOOKUP(B41,'Runner List'!$B$3:$O$505,8,FALSE),0)</f>
        <v>50-59</v>
      </c>
      <c r="G41" s="26" t="str">
        <f>IFERROR(VLOOKUP(B41,'Runner List'!$B$3:$O$505,9,FALSE),0)</f>
        <v>Thai</v>
      </c>
      <c r="H41" s="25" t="str">
        <f>IFERROR(VLOOKUP(B41,'Runner List'!$B$3:$O$505,10,FALSE),0)</f>
        <v>MKT50</v>
      </c>
      <c r="I41" s="24">
        <f ca="1">IFERROR(VLOOKUP(B41,'(2)Check In'!$B$4:$I$848,7,FALSE),0)</f>
        <v>45550.205449189816</v>
      </c>
      <c r="J41" s="24">
        <f>IFERROR(VLOOKUP(B41,'(2)Check In'!$B$4:$I$848,8,FALSE),0)</f>
        <v>0.20833333333333334</v>
      </c>
      <c r="K41" s="24">
        <f t="shared" ca="1" si="2"/>
        <v>45550.524004976854</v>
      </c>
      <c r="L41" s="127">
        <f t="shared" ca="1" si="1"/>
        <v>45550.315671643519</v>
      </c>
      <c r="M41" s="142">
        <f>COUNTIFS($H$3:H41,H41)</f>
        <v>2</v>
      </c>
      <c r="N41" s="142">
        <f>COUNTIFS(F$3:$F41,F41,H$3:$H41,H41,E$3:$E41,E41)</f>
        <v>1</v>
      </c>
      <c r="O41" s="142">
        <f>COUNTIFS($F$3:F41,F41,$H$3:H41,H41)</f>
        <v>1</v>
      </c>
    </row>
    <row r="42" spans="1:15" ht="36" customHeight="1">
      <c r="A42" s="28">
        <v>39</v>
      </c>
      <c r="B42" s="54">
        <v>3321</v>
      </c>
      <c r="C42" s="61" t="str">
        <f>IFERROR(VLOOKUP(B42,'Runner List'!$B$3:$O$505,5,FALSE),0)</f>
        <v>KHAMNONG SEEDA</v>
      </c>
      <c r="D42" s="129" t="str">
        <f>IFERROR(VLOOKUP(B42,'Runner List'!$B$3:$O$505,6,FALSE),0)</f>
        <v>KHAMNONG.S</v>
      </c>
      <c r="E42" s="8" t="str">
        <f>IFERROR(VLOOKUP(B42,'Runner List'!$B$3:$O$505,7,FALSE),0)</f>
        <v>Female</v>
      </c>
      <c r="F42" s="25" t="str">
        <f>IFERROR(VLOOKUP(B42,'Runner List'!$B$3:$O$505,8,FALSE),0)</f>
        <v>20-39</v>
      </c>
      <c r="G42" s="26" t="str">
        <f>IFERROR(VLOOKUP(B42,'Runner List'!$B$3:$O$505,9,FALSE),0)</f>
        <v>Thai</v>
      </c>
      <c r="H42" s="25" t="str">
        <f>IFERROR(VLOOKUP(B42,'Runner List'!$B$3:$O$505,10,FALSE),0)</f>
        <v>MKT33</v>
      </c>
      <c r="I42" s="24">
        <f ca="1">IFERROR(VLOOKUP(B42,'(2)Check In'!$B$4:$I$848,7,FALSE),0)</f>
        <v>45550.226358333333</v>
      </c>
      <c r="J42" s="24">
        <f>IFERROR(VLOOKUP(B42,'(2)Check In'!$B$4:$I$848,8,FALSE),0)</f>
        <v>0.22916666666666666</v>
      </c>
      <c r="K42" s="24">
        <f t="shared" ca="1" si="2"/>
        <v>45550.532835300924</v>
      </c>
      <c r="L42" s="127">
        <f t="shared" ca="1" si="1"/>
        <v>45550.30366863426</v>
      </c>
      <c r="M42" s="142">
        <f>COUNTIFS($H$3:H42,H42)</f>
        <v>37</v>
      </c>
      <c r="N42" s="142">
        <f>COUNTIFS(F$3:$F42,F42,H$3:$H42,H42,E$3:$E42,E42)</f>
        <v>5</v>
      </c>
      <c r="O42" s="142">
        <f>COUNTIFS($F$3:F42,F42,$H$3:H42,H42)</f>
        <v>19</v>
      </c>
    </row>
    <row r="43" spans="1:15" ht="36" customHeight="1">
      <c r="A43" s="29">
        <v>40</v>
      </c>
      <c r="B43" s="54">
        <v>3391</v>
      </c>
      <c r="C43" s="61" t="str">
        <f>IFERROR(VLOOKUP(B43,'Runner List'!$B$3:$O$505,5,FALSE),0)</f>
        <v>SAMATCHA INTAPAI</v>
      </c>
      <c r="D43" s="129" t="str">
        <f>IFERROR(VLOOKUP(B43,'Runner List'!$B$3:$O$505,6,FALSE),0)</f>
        <v>SAMATCHA.I</v>
      </c>
      <c r="E43" s="8" t="str">
        <f>IFERROR(VLOOKUP(B43,'Runner List'!$B$3:$O$505,7,FALSE),0)</f>
        <v>Female</v>
      </c>
      <c r="F43" s="25" t="str">
        <f>IFERROR(VLOOKUP(B43,'Runner List'!$B$3:$O$505,8,FALSE),0)</f>
        <v>20-39</v>
      </c>
      <c r="G43" s="26" t="str">
        <f>IFERROR(VLOOKUP(B43,'Runner List'!$B$3:$O$505,9,FALSE),0)</f>
        <v>Thai</v>
      </c>
      <c r="H43" s="25" t="str">
        <f>IFERROR(VLOOKUP(B43,'Runner List'!$B$3:$O$505,10,FALSE),0)</f>
        <v>MKT33</v>
      </c>
      <c r="I43" s="24">
        <f ca="1">IFERROR(VLOOKUP(B43,'(2)Check In'!$B$4:$I$848,7,FALSE),0)</f>
        <v>45550.228676967592</v>
      </c>
      <c r="J43" s="24">
        <f>IFERROR(VLOOKUP(B43,'(2)Check In'!$B$4:$I$848,8,FALSE),0)</f>
        <v>0.22916666666666666</v>
      </c>
      <c r="K43" s="24">
        <f t="shared" ca="1" si="2"/>
        <v>45550.532871643518</v>
      </c>
      <c r="L43" s="127">
        <f t="shared" ca="1" si="1"/>
        <v>45550.303704976854</v>
      </c>
      <c r="M43" s="142">
        <f>COUNTIFS($H$3:H43,H43)</f>
        <v>38</v>
      </c>
      <c r="N43" s="142">
        <f>COUNTIFS(F$3:$F43,F43,H$3:$H43,H43,E$3:$E43,E43)</f>
        <v>6</v>
      </c>
      <c r="O43" s="142">
        <f>COUNTIFS($F$3:F43,F43,$H$3:H43,H43)</f>
        <v>20</v>
      </c>
    </row>
    <row r="44" spans="1:15" ht="36" customHeight="1">
      <c r="A44" s="28">
        <v>41</v>
      </c>
      <c r="B44" s="54">
        <v>3320</v>
      </c>
      <c r="C44" s="61" t="str">
        <f>IFERROR(VLOOKUP(B44,'Runner List'!$B$3:$O$505,5,FALSE),0)</f>
        <v>VATCHARA PUMNOI</v>
      </c>
      <c r="D44" s="129" t="str">
        <f>IFERROR(VLOOKUP(B44,'Runner List'!$B$3:$O$505,6,FALSE),0)</f>
        <v>VATCHARA.P</v>
      </c>
      <c r="E44" s="8" t="str">
        <f>IFERROR(VLOOKUP(B44,'Runner List'!$B$3:$O$505,7,FALSE),0)</f>
        <v>Male</v>
      </c>
      <c r="F44" s="25" t="str">
        <f>IFERROR(VLOOKUP(B44,'Runner List'!$B$3:$O$505,8,FALSE),0)</f>
        <v>50-59</v>
      </c>
      <c r="G44" s="26" t="str">
        <f>IFERROR(VLOOKUP(B44,'Runner List'!$B$3:$O$505,9,FALSE),0)</f>
        <v>Thai</v>
      </c>
      <c r="H44" s="25" t="str">
        <f>IFERROR(VLOOKUP(B44,'Runner List'!$B$3:$O$505,10,FALSE),0)</f>
        <v>MKT33</v>
      </c>
      <c r="I44" s="24">
        <f ca="1">IFERROR(VLOOKUP(B44,'(2)Check In'!$B$4:$I$848,7,FALSE),0)</f>
        <v>45550.226295370368</v>
      </c>
      <c r="J44" s="24">
        <f>IFERROR(VLOOKUP(B44,'(2)Check In'!$B$4:$I$848,8,FALSE),0)</f>
        <v>0.22916666666666666</v>
      </c>
      <c r="K44" s="24">
        <f t="shared" ca="1" si="2"/>
        <v>45550.532956365743</v>
      </c>
      <c r="L44" s="127">
        <f t="shared" ca="1" si="1"/>
        <v>45550.303789699079</v>
      </c>
      <c r="M44" s="142">
        <f>COUNTIFS($H$3:H44,H44)</f>
        <v>39</v>
      </c>
      <c r="N44" s="142">
        <f>COUNTIFS(F$3:$F44,F44,H$3:$H44,H44,E$3:$E44,E44)</f>
        <v>8</v>
      </c>
      <c r="O44" s="142">
        <f>COUNTIFS($F$3:F44,F44,$H$3:H44,H44)</f>
        <v>9</v>
      </c>
    </row>
    <row r="45" spans="1:15" ht="36" customHeight="1">
      <c r="A45" s="29">
        <v>42</v>
      </c>
      <c r="B45" s="54">
        <v>3362</v>
      </c>
      <c r="C45" s="61" t="str">
        <f>IFERROR(VLOOKUP(B45,'Runner List'!$B$3:$O$505,5,FALSE),0)</f>
        <v>ATHIPPAKORN LNJINDA</v>
      </c>
      <c r="D45" s="129" t="str">
        <f>IFERROR(VLOOKUP(B45,'Runner List'!$B$3:$O$505,6,FALSE),0)</f>
        <v>ATHIPPAKORN.L</v>
      </c>
      <c r="E45" s="8" t="str">
        <f>IFERROR(VLOOKUP(B45,'Runner List'!$B$3:$O$505,7,FALSE),0)</f>
        <v>Male</v>
      </c>
      <c r="F45" s="25" t="str">
        <f>IFERROR(VLOOKUP(B45,'Runner List'!$B$3:$O$505,8,FALSE),0)</f>
        <v>20-39</v>
      </c>
      <c r="G45" s="26" t="str">
        <f>IFERROR(VLOOKUP(B45,'Runner List'!$B$3:$O$505,9,FALSE),0)</f>
        <v>Thai</v>
      </c>
      <c r="H45" s="25" t="str">
        <f>IFERROR(VLOOKUP(B45,'Runner List'!$B$3:$O$505,10,FALSE),0)</f>
        <v>MKT33</v>
      </c>
      <c r="I45" s="24">
        <f ca="1">IFERROR(VLOOKUP(B45,'(2)Check In'!$B$4:$I$848,7,FALSE),0)</f>
        <v>45550.227646180552</v>
      </c>
      <c r="J45" s="24">
        <f>IFERROR(VLOOKUP(B45,'(2)Check In'!$B$4:$I$848,8,FALSE),0)</f>
        <v>0.22916666666666666</v>
      </c>
      <c r="K45" s="24">
        <f t="shared" ca="1" si="2"/>
        <v>45550.539108217592</v>
      </c>
      <c r="L45" s="127">
        <f t="shared" ca="1" si="1"/>
        <v>45550.309941550928</v>
      </c>
      <c r="M45" s="142">
        <f>COUNTIFS($H$3:H45,H45)</f>
        <v>40</v>
      </c>
      <c r="N45" s="142">
        <f>COUNTIFS(F$3:$F45,F45,H$3:$H45,H45,E$3:$E45,E45)</f>
        <v>14</v>
      </c>
      <c r="O45" s="142">
        <f>COUNTIFS($F$3:F45,F45,$H$3:H45,H45)</f>
        <v>21</v>
      </c>
    </row>
    <row r="46" spans="1:15" ht="36" customHeight="1">
      <c r="A46" s="28">
        <v>43</v>
      </c>
      <c r="B46" s="54">
        <v>3339</v>
      </c>
      <c r="C46" s="61" t="str">
        <f>IFERROR(VLOOKUP(B46,'Runner List'!$B$3:$O$505,5,FALSE),0)</f>
        <v>SIREETORN ARUNRUKTHAVON</v>
      </c>
      <c r="D46" s="129" t="str">
        <f>IFERROR(VLOOKUP(B46,'Runner List'!$B$3:$O$505,6,FALSE),0)</f>
        <v>SIREETORN.A</v>
      </c>
      <c r="E46" s="8" t="str">
        <f>IFERROR(VLOOKUP(B46,'Runner List'!$B$3:$O$505,7,FALSE),0)</f>
        <v>Female</v>
      </c>
      <c r="F46" s="25" t="str">
        <f>IFERROR(VLOOKUP(B46,'Runner List'!$B$3:$O$505,8,FALSE),0)</f>
        <v>20-39</v>
      </c>
      <c r="G46" s="26" t="str">
        <f>IFERROR(VLOOKUP(B46,'Runner List'!$B$3:$O$505,9,FALSE),0)</f>
        <v>Thai</v>
      </c>
      <c r="H46" s="25" t="str">
        <f>IFERROR(VLOOKUP(B46,'Runner List'!$B$3:$O$505,10,FALSE),0)</f>
        <v>MKT33</v>
      </c>
      <c r="I46" s="24">
        <f ca="1">IFERROR(VLOOKUP(B46,'(2)Check In'!$B$4:$I$848,7,FALSE),0)</f>
        <v>45550.22680798611</v>
      </c>
      <c r="J46" s="24">
        <f>IFERROR(VLOOKUP(B46,'(2)Check In'!$B$4:$I$848,8,FALSE),0)</f>
        <v>0.22916666666666666</v>
      </c>
      <c r="K46" s="24">
        <f t="shared" ca="1" si="2"/>
        <v>45550.539353819448</v>
      </c>
      <c r="L46" s="127">
        <f t="shared" ca="1" si="1"/>
        <v>45550.310187152783</v>
      </c>
      <c r="M46" s="142">
        <f>COUNTIFS($H$3:H46,H46)</f>
        <v>41</v>
      </c>
      <c r="N46" s="142">
        <f>COUNTIFS(F$3:$F46,F46,H$3:$H46,H46,E$3:$E46,E46)</f>
        <v>7</v>
      </c>
      <c r="O46" s="142">
        <f>COUNTIFS($F$3:F46,F46,$H$3:H46,H46)</f>
        <v>22</v>
      </c>
    </row>
    <row r="47" spans="1:15" ht="36" customHeight="1">
      <c r="A47" s="29">
        <v>44</v>
      </c>
      <c r="B47" s="54">
        <v>3375</v>
      </c>
      <c r="C47" s="61" t="str">
        <f>IFERROR(VLOOKUP(B47,'Runner List'!$B$3:$O$505,5,FALSE),0)</f>
        <v>BENYADA YOSHSINGCOME</v>
      </c>
      <c r="D47" s="129" t="str">
        <f>IFERROR(VLOOKUP(B47,'Runner List'!$B$3:$O$505,6,FALSE),0)</f>
        <v>BENYADA.Y</v>
      </c>
      <c r="E47" s="8" t="str">
        <f>IFERROR(VLOOKUP(B47,'Runner List'!$B$3:$O$505,7,FALSE),0)</f>
        <v>Female</v>
      </c>
      <c r="F47" s="25" t="str">
        <f>IFERROR(VLOOKUP(B47,'Runner List'!$B$3:$O$505,8,FALSE),0)</f>
        <v>40-49</v>
      </c>
      <c r="G47" s="26" t="str">
        <f>IFERROR(VLOOKUP(B47,'Runner List'!$B$3:$O$505,9,FALSE),0)</f>
        <v>Thai</v>
      </c>
      <c r="H47" s="25" t="str">
        <f>IFERROR(VLOOKUP(B47,'Runner List'!$B$3:$O$505,10,FALSE),0)</f>
        <v>MKT33</v>
      </c>
      <c r="I47" s="24">
        <f ca="1">IFERROR(VLOOKUP(B47,'(2)Check In'!$B$4:$I$848,7,FALSE),0)</f>
        <v>45550.226180787038</v>
      </c>
      <c r="J47" s="24">
        <f>IFERROR(VLOOKUP(B47,'(2)Check In'!$B$4:$I$848,8,FALSE),0)</f>
        <v>0.22916666666666666</v>
      </c>
      <c r="K47" s="24">
        <f t="shared" ca="1" si="2"/>
        <v>45550.544388888891</v>
      </c>
      <c r="L47" s="127">
        <f t="shared" ca="1" si="1"/>
        <v>45550.315222222227</v>
      </c>
      <c r="M47" s="142">
        <f>COUNTIFS($H$3:H47,H47)</f>
        <v>42</v>
      </c>
      <c r="N47" s="142">
        <f>COUNTIFS(F$3:$F47,F47,H$3:$H47,H47,E$3:$E47,E47)</f>
        <v>3</v>
      </c>
      <c r="O47" s="142">
        <f>COUNTIFS($F$3:F47,F47,$H$3:H47,H47)</f>
        <v>10</v>
      </c>
    </row>
    <row r="48" spans="1:15" ht="36" customHeight="1">
      <c r="A48" s="28">
        <v>45</v>
      </c>
      <c r="B48" s="54">
        <v>3342</v>
      </c>
      <c r="C48" s="61" t="str">
        <f>IFERROR(VLOOKUP(B48,'Runner List'!$B$3:$O$505,5,FALSE),0)</f>
        <v>DAN KOOTTATEP</v>
      </c>
      <c r="D48" s="129" t="str">
        <f>IFERROR(VLOOKUP(B48,'Runner List'!$B$3:$O$505,6,FALSE),0)</f>
        <v>DAN KOOTTATEP</v>
      </c>
      <c r="E48" s="8" t="str">
        <f>IFERROR(VLOOKUP(B48,'Runner List'!$B$3:$O$505,7,FALSE),0)</f>
        <v>Male</v>
      </c>
      <c r="F48" s="25" t="str">
        <f>IFERROR(VLOOKUP(B48,'Runner List'!$B$3:$O$505,8,FALSE),0)</f>
        <v>40-49</v>
      </c>
      <c r="G48" s="26" t="str">
        <f>IFERROR(VLOOKUP(B48,'Runner List'!$B$3:$O$505,9,FALSE),0)</f>
        <v>Norwegian</v>
      </c>
      <c r="H48" s="25" t="str">
        <f>IFERROR(VLOOKUP(B48,'Runner List'!$B$3:$O$505,10,FALSE),0)</f>
        <v>MKT33</v>
      </c>
      <c r="I48" s="24">
        <f ca="1">IFERROR(VLOOKUP(B48,'(2)Check In'!$B$4:$I$848,7,FALSE),0)</f>
        <v>45550.229163425924</v>
      </c>
      <c r="J48" s="24">
        <f>IFERROR(VLOOKUP(B48,'(2)Check In'!$B$4:$I$848,8,FALSE),0)</f>
        <v>0.22916666666666666</v>
      </c>
      <c r="K48" s="24">
        <f t="shared" ca="1" si="2"/>
        <v>45550.552211458336</v>
      </c>
      <c r="L48" s="127">
        <f t="shared" ca="1" si="1"/>
        <v>45550.323044791672</v>
      </c>
      <c r="M48" s="142">
        <f>COUNTIFS($H$3:H48,H48)</f>
        <v>43</v>
      </c>
      <c r="N48" s="142">
        <f>COUNTIFS(F$3:$F48,F48,H$3:$H48,H48,E$3:$E48,E48)</f>
        <v>8</v>
      </c>
      <c r="O48" s="142">
        <f>COUNTIFS($F$3:F48,F48,$H$3:H48,H48)</f>
        <v>11</v>
      </c>
    </row>
    <row r="49" spans="1:17" ht="36" customHeight="1">
      <c r="A49" s="29">
        <v>46</v>
      </c>
      <c r="B49" s="54">
        <v>5029</v>
      </c>
      <c r="C49" s="61" t="str">
        <f>IFERROR(VLOOKUP(B49,'Runner List'!$B$3:$O$505,5,FALSE),0)</f>
        <v>ALBRECHT DELFT PAGADUAN</v>
      </c>
      <c r="D49" s="129" t="str">
        <f>IFERROR(VLOOKUP(B49,'Runner List'!$B$3:$O$505,6,FALSE),0)</f>
        <v>ALBRECHT DELFT PAGADUAN</v>
      </c>
      <c r="E49" s="8" t="str">
        <f>IFERROR(VLOOKUP(B49,'Runner List'!$B$3:$O$505,7,FALSE),0)</f>
        <v>Male</v>
      </c>
      <c r="F49" s="25" t="str">
        <f>IFERROR(VLOOKUP(B49,'Runner List'!$B$3:$O$505,8,FALSE),0)</f>
        <v>40-49</v>
      </c>
      <c r="G49" s="26" t="str">
        <f>IFERROR(VLOOKUP(B49,'Runner List'!$B$3:$O$505,9,FALSE),0)</f>
        <v>Filipino</v>
      </c>
      <c r="H49" s="25" t="str">
        <f>IFERROR(VLOOKUP(B49,'Runner List'!$B$3:$O$505,10,FALSE),0)</f>
        <v>MKT50</v>
      </c>
      <c r="I49" s="24">
        <f ca="1">IFERROR(VLOOKUP(B49,'(2)Check In'!$B$4:$I$848,7,FALSE),0)</f>
        <v>45550.205159143516</v>
      </c>
      <c r="J49" s="24">
        <f>IFERROR(VLOOKUP(B49,'(2)Check In'!$B$4:$I$848,8,FALSE),0)</f>
        <v>0.20833333333333334</v>
      </c>
      <c r="K49" s="24">
        <f t="shared" ca="1" si="2"/>
        <v>45550.559542939816</v>
      </c>
      <c r="L49" s="127">
        <f t="shared" ca="1" si="1"/>
        <v>45550.351209606481</v>
      </c>
      <c r="M49" s="142">
        <f>COUNTIFS($H$3:H49,H49)</f>
        <v>3</v>
      </c>
      <c r="N49" s="142">
        <f>COUNTIFS(F$3:$F49,F49,H$3:$H49,H49,E$3:$E49,E49)</f>
        <v>2</v>
      </c>
      <c r="O49" s="142">
        <f>COUNTIFS($F$3:F49,F49,$H$3:H49,H49)</f>
        <v>2</v>
      </c>
    </row>
    <row r="50" spans="1:17" ht="36" customHeight="1">
      <c r="A50" s="28">
        <v>47</v>
      </c>
      <c r="B50" s="54">
        <v>5023</v>
      </c>
      <c r="C50" s="61" t="str">
        <f>IFERROR(VLOOKUP(B50,'Runner List'!$B$3:$O$505,5,FALSE),0)</f>
        <v>KUNNIKA TONSAKUL</v>
      </c>
      <c r="D50" s="129" t="str">
        <f>IFERROR(VLOOKUP(B50,'Runner List'!$B$3:$O$505,6,FALSE),0)</f>
        <v>KUNNIKA.T</v>
      </c>
      <c r="E50" s="8" t="str">
        <f>IFERROR(VLOOKUP(B50,'Runner List'!$B$3:$O$505,7,FALSE),0)</f>
        <v>Female</v>
      </c>
      <c r="F50" s="25" t="str">
        <f>IFERROR(VLOOKUP(B50,'Runner List'!$B$3:$O$505,8,FALSE),0)</f>
        <v>50-59</v>
      </c>
      <c r="G50" s="26" t="str">
        <f>IFERROR(VLOOKUP(B50,'Runner List'!$B$3:$O$505,9,FALSE),0)</f>
        <v>Thai</v>
      </c>
      <c r="H50" s="25" t="str">
        <f>IFERROR(VLOOKUP(B50,'Runner List'!$B$3:$O$505,10,FALSE),0)</f>
        <v>MKT50</v>
      </c>
      <c r="I50" s="24">
        <f ca="1">IFERROR(VLOOKUP(B50,'(2)Check In'!$B$4:$I$848,7,FALSE),0)</f>
        <v>45550.205410532406</v>
      </c>
      <c r="J50" s="24">
        <f>IFERROR(VLOOKUP(B50,'(2)Check In'!$B$4:$I$848,8,FALSE),0)</f>
        <v>0.20833333333333334</v>
      </c>
      <c r="K50" s="24">
        <f t="shared" ca="1" si="2"/>
        <v>45550.561546180557</v>
      </c>
      <c r="L50" s="127">
        <f t="shared" ca="1" si="1"/>
        <v>45550.353212847222</v>
      </c>
      <c r="M50" s="142">
        <f>COUNTIFS($H$3:H50,H50)</f>
        <v>4</v>
      </c>
      <c r="N50" s="142">
        <f>COUNTIFS(F$3:$F50,F50,H$3:$H50,H50,E$3:$E50,E50)</f>
        <v>1</v>
      </c>
      <c r="O50" s="142">
        <f>COUNTIFS($F$3:F50,F50,$H$3:H50,H50)</f>
        <v>2</v>
      </c>
    </row>
    <row r="51" spans="1:17" ht="36" customHeight="1">
      <c r="A51" s="29">
        <v>48</v>
      </c>
      <c r="B51" s="54">
        <v>3392</v>
      </c>
      <c r="C51" s="61" t="str">
        <f>IFERROR(VLOOKUP(B51,'Runner List'!$B$3:$O$505,5,FALSE),0)</f>
        <v>SERI PHUPHISIT</v>
      </c>
      <c r="D51" s="129" t="str">
        <f>IFERROR(VLOOKUP(B51,'Runner List'!$B$3:$O$505,6,FALSE),0)</f>
        <v>SERI.P</v>
      </c>
      <c r="E51" s="8" t="str">
        <f>IFERROR(VLOOKUP(B51,'Runner List'!$B$3:$O$505,7,FALSE),0)</f>
        <v>Male</v>
      </c>
      <c r="F51" s="25" t="str">
        <f>IFERROR(VLOOKUP(B51,'Runner List'!$B$3:$O$505,8,FALSE),0)</f>
        <v>60 Plus</v>
      </c>
      <c r="G51" s="26" t="str">
        <f>IFERROR(VLOOKUP(B51,'Runner List'!$B$3:$O$505,9,FALSE),0)</f>
        <v>Thai</v>
      </c>
      <c r="H51" s="25" t="str">
        <f>IFERROR(VLOOKUP(B51,'Runner List'!$B$3:$O$505,10,FALSE),0)</f>
        <v>MKT33</v>
      </c>
      <c r="I51" s="24">
        <f ca="1">IFERROR(VLOOKUP(B51,'(2)Check In'!$B$4:$I$848,7,FALSE),0)</f>
        <v>45550.228900462964</v>
      </c>
      <c r="J51" s="24">
        <f>IFERROR(VLOOKUP(B51,'(2)Check In'!$B$4:$I$848,8,FALSE),0)</f>
        <v>0.22916666666666666</v>
      </c>
      <c r="K51" s="24">
        <f t="shared" ca="1" si="2"/>
        <v>45550.563963078705</v>
      </c>
      <c r="L51" s="127">
        <f t="shared" ca="1" si="1"/>
        <v>45550.33479641204</v>
      </c>
      <c r="M51" s="142">
        <f>COUNTIFS($H$3:H51,H51)</f>
        <v>44</v>
      </c>
      <c r="N51" s="142">
        <f>COUNTIFS(F$3:$F51,F51,H$3:$H51,H51,E$3:$E51,E51)</f>
        <v>2</v>
      </c>
      <c r="O51" s="142">
        <f>COUNTIFS($F$3:F51,F51,$H$3:H51,H51)</f>
        <v>2</v>
      </c>
    </row>
    <row r="52" spans="1:17" ht="36" customHeight="1">
      <c r="A52" s="28">
        <v>49</v>
      </c>
      <c r="B52" s="54">
        <v>3344</v>
      </c>
      <c r="C52" s="61" t="str">
        <f>IFERROR(VLOOKUP(B52,'Runner List'!$B$3:$O$505,5,FALSE),0)</f>
        <v>THANAKORN NERAWAN</v>
      </c>
      <c r="D52" s="129" t="str">
        <f>IFERROR(VLOOKUP(B52,'Runner List'!$B$3:$O$505,6,FALSE),0)</f>
        <v>THANAKORN.N</v>
      </c>
      <c r="E52" s="8" t="str">
        <f>IFERROR(VLOOKUP(B52,'Runner List'!$B$3:$O$505,7,FALSE),0)</f>
        <v>Male</v>
      </c>
      <c r="F52" s="25" t="str">
        <f>IFERROR(VLOOKUP(B52,'Runner List'!$B$3:$O$505,8,FALSE),0)</f>
        <v>20-39</v>
      </c>
      <c r="G52" s="26" t="str">
        <f>IFERROR(VLOOKUP(B52,'Runner List'!$B$3:$O$505,9,FALSE),0)</f>
        <v>Thai</v>
      </c>
      <c r="H52" s="25" t="str">
        <f>IFERROR(VLOOKUP(B52,'Runner List'!$B$3:$O$505,10,FALSE),0)</f>
        <v>MKT33</v>
      </c>
      <c r="I52" s="24">
        <f ca="1">IFERROR(VLOOKUP(B52,'(2)Check In'!$B$4:$I$848,7,FALSE),0)</f>
        <v>45550.227445717595</v>
      </c>
      <c r="J52" s="24">
        <f>IFERROR(VLOOKUP(B52,'(2)Check In'!$B$4:$I$848,8,FALSE),0)</f>
        <v>0.22916666666666666</v>
      </c>
      <c r="K52" s="24">
        <f t="shared" ca="1" si="2"/>
        <v>45550.566013888892</v>
      </c>
      <c r="L52" s="127">
        <f t="shared" ca="1" si="1"/>
        <v>45550.336847222228</v>
      </c>
      <c r="M52" s="142">
        <f>COUNTIFS($H$3:H52,H52)</f>
        <v>45</v>
      </c>
      <c r="N52" s="142">
        <f>COUNTIFS(F$3:$F52,F52,H$3:$H52,H52,E$3:$E52,E52)</f>
        <v>15</v>
      </c>
      <c r="O52" s="142">
        <f>COUNTIFS($F$3:F52,F52,$H$3:H52,H52)</f>
        <v>23</v>
      </c>
    </row>
    <row r="53" spans="1:17" ht="36" customHeight="1">
      <c r="A53" s="29">
        <v>50</v>
      </c>
      <c r="B53" s="54">
        <v>3368</v>
      </c>
      <c r="C53" s="61" t="str">
        <f>IFERROR(VLOOKUP(B53,'Runner List'!$B$3:$O$505,5,FALSE),0)</f>
        <v>TOTSAPORN MUAMGNGAM</v>
      </c>
      <c r="D53" s="129" t="str">
        <f>IFERROR(VLOOKUP(B53,'Runner List'!$B$3:$O$505,6,FALSE),0)</f>
        <v>TOTSAPORN.M</v>
      </c>
      <c r="E53" s="8" t="str">
        <f>IFERROR(VLOOKUP(B53,'Runner List'!$B$3:$O$505,7,FALSE),0)</f>
        <v>Female</v>
      </c>
      <c r="F53" s="25" t="str">
        <f>IFERROR(VLOOKUP(B53,'Runner List'!$B$3:$O$505,8,FALSE),0)</f>
        <v>20-39</v>
      </c>
      <c r="G53" s="26" t="str">
        <f>IFERROR(VLOOKUP(B53,'Runner List'!$B$3:$O$505,9,FALSE),0)</f>
        <v>Thai</v>
      </c>
      <c r="H53" s="25" t="str">
        <f>IFERROR(VLOOKUP(B53,'Runner List'!$B$3:$O$505,10,FALSE),0)</f>
        <v>MKT33</v>
      </c>
      <c r="I53" s="24">
        <f ca="1">IFERROR(VLOOKUP(B53,'(2)Check In'!$B$4:$I$848,7,FALSE),0)</f>
        <v>45550.226159606478</v>
      </c>
      <c r="J53" s="24">
        <f>IFERROR(VLOOKUP(B53,'(2)Check In'!$B$4:$I$848,8,FALSE),0)</f>
        <v>0.22916666666666666</v>
      </c>
      <c r="K53" s="24">
        <f t="shared" ca="1" si="2"/>
        <v>45550.570557291663</v>
      </c>
      <c r="L53" s="127">
        <f t="shared" ca="1" si="1"/>
        <v>45550.341390624999</v>
      </c>
      <c r="M53" s="142">
        <f>COUNTIFS($H$3:H53,H53)</f>
        <v>46</v>
      </c>
      <c r="N53" s="142">
        <f>COUNTIFS(F$3:$F53,F53,H$3:$H53,H53,E$3:$E53,E53)</f>
        <v>8</v>
      </c>
      <c r="O53" s="142">
        <f>COUNTIFS($F$3:F53,F53,$H$3:H53,H53)</f>
        <v>24</v>
      </c>
    </row>
    <row r="54" spans="1:17" ht="36" customHeight="1">
      <c r="A54" s="28">
        <v>51</v>
      </c>
      <c r="B54" s="54">
        <v>5045</v>
      </c>
      <c r="C54" s="61" t="str">
        <f>IFERROR(VLOOKUP(B54,'Runner List'!$B$3:$O$505,5,FALSE),0)</f>
        <v>VEERAPONG PAKDEEPRASERT</v>
      </c>
      <c r="D54" s="129" t="str">
        <f>IFERROR(VLOOKUP(B54,'Runner List'!$B$3:$O$505,6,FALSE),0)</f>
        <v>VEERAPONG.P</v>
      </c>
      <c r="E54" s="8" t="str">
        <f>IFERROR(VLOOKUP(B54,'Runner List'!$B$3:$O$505,7,FALSE),0)</f>
        <v>Male</v>
      </c>
      <c r="F54" s="25" t="str">
        <f>IFERROR(VLOOKUP(B54,'Runner List'!$B$3:$O$505,8,FALSE),0)</f>
        <v>40-49</v>
      </c>
      <c r="G54" s="26" t="str">
        <f>IFERROR(VLOOKUP(B54,'Runner List'!$B$3:$O$505,9,FALSE),0)</f>
        <v>Thai</v>
      </c>
      <c r="H54" s="25" t="str">
        <f>IFERROR(VLOOKUP(B54,'Runner List'!$B$3:$O$505,10,FALSE),0)</f>
        <v>MKT50</v>
      </c>
      <c r="I54" s="24">
        <f ca="1">IFERROR(VLOOKUP(B54,'(2)Check In'!$B$4:$I$848,7,FALSE),0)</f>
        <v>45550.204535532408</v>
      </c>
      <c r="J54" s="24">
        <f>IFERROR(VLOOKUP(B54,'(2)Check In'!$B$4:$I$848,8,FALSE),0)</f>
        <v>0.20833333333333334</v>
      </c>
      <c r="K54" s="24">
        <f t="shared" ca="1" si="2"/>
        <v>45550.570595949073</v>
      </c>
      <c r="L54" s="127">
        <f t="shared" ca="1" si="1"/>
        <v>45550.362262615738</v>
      </c>
      <c r="M54" s="142">
        <f>COUNTIFS($H$3:H54,H54)</f>
        <v>5</v>
      </c>
      <c r="N54" s="142">
        <f>COUNTIFS(F$3:$F54,F54,H$3:$H54,H54,E$3:$E54,E54)</f>
        <v>3</v>
      </c>
      <c r="O54" s="142">
        <f>COUNTIFS($F$3:F54,F54,$H$3:H54,H54)</f>
        <v>3</v>
      </c>
    </row>
    <row r="55" spans="1:17" ht="36" customHeight="1">
      <c r="A55" s="29">
        <v>52</v>
      </c>
      <c r="B55" s="54">
        <v>3329</v>
      </c>
      <c r="C55" s="61" t="str">
        <f>IFERROR(VLOOKUP(B55,'Runner List'!$B$3:$O$505,5,FALSE),0)</f>
        <v>SETTHA PHAIKHAMNAM</v>
      </c>
      <c r="D55" s="129" t="str">
        <f>IFERROR(VLOOKUP(B55,'Runner List'!$B$3:$O$505,6,FALSE),0)</f>
        <v>SETTHA.P</v>
      </c>
      <c r="E55" s="8" t="str">
        <f>IFERROR(VLOOKUP(B55,'Runner List'!$B$3:$O$505,7,FALSE),0)</f>
        <v>Male</v>
      </c>
      <c r="F55" s="25" t="str">
        <f>IFERROR(VLOOKUP(B55,'Runner List'!$B$3:$O$505,8,FALSE),0)</f>
        <v>40-49</v>
      </c>
      <c r="G55" s="26" t="str">
        <f>IFERROR(VLOOKUP(B55,'Runner List'!$B$3:$O$505,9,FALSE),0)</f>
        <v>Thai</v>
      </c>
      <c r="H55" s="25" t="str">
        <f>IFERROR(VLOOKUP(B55,'Runner List'!$B$3:$O$505,10,FALSE),0)</f>
        <v>MKT33</v>
      </c>
      <c r="I55" s="24">
        <f ca="1">IFERROR(VLOOKUP(B55,'(2)Check In'!$B$4:$I$848,7,FALSE),0)</f>
        <v>45550.227713773151</v>
      </c>
      <c r="J55" s="24">
        <f>IFERROR(VLOOKUP(B55,'(2)Check In'!$B$4:$I$848,8,FALSE),0)</f>
        <v>0.22916666666666666</v>
      </c>
      <c r="K55" s="24">
        <f t="shared" ca="1" si="2"/>
        <v>45550.572345949076</v>
      </c>
      <c r="L55" s="127">
        <f t="shared" ca="1" si="1"/>
        <v>45550.343179282412</v>
      </c>
      <c r="M55" s="142">
        <f>COUNTIFS($H$3:H55,H55)</f>
        <v>47</v>
      </c>
      <c r="N55" s="142">
        <f>COUNTIFS(F$3:$F55,F55,H$3:$H55,H55,E$3:$E55,E55)</f>
        <v>9</v>
      </c>
      <c r="O55" s="142">
        <f>COUNTIFS($F$3:F55,F55,$H$3:H55,H55)</f>
        <v>12</v>
      </c>
    </row>
    <row r="56" spans="1:17" ht="36" customHeight="1">
      <c r="A56" s="28">
        <v>53</v>
      </c>
      <c r="B56" s="54">
        <v>3398</v>
      </c>
      <c r="C56" s="61" t="str">
        <f>IFERROR(VLOOKUP(B56,'Runner List'!$B$3:$O$505,5,FALSE),0)</f>
        <v>NUTCHAYA BOONTHUM</v>
      </c>
      <c r="D56" s="129" t="str">
        <f>IFERROR(VLOOKUP(B56,'Runner List'!$B$3:$O$505,6,FALSE),0)</f>
        <v>NUTCHAYA.B</v>
      </c>
      <c r="E56" s="8" t="str">
        <f>IFERROR(VLOOKUP(B56,'Runner List'!$B$3:$O$505,7,FALSE),0)</f>
        <v>Female</v>
      </c>
      <c r="F56" s="25" t="str">
        <f>IFERROR(VLOOKUP(B56,'Runner List'!$B$3:$O$505,8,FALSE),0)</f>
        <v>20-39</v>
      </c>
      <c r="G56" s="26" t="str">
        <f>IFERROR(VLOOKUP(B56,'Runner List'!$B$3:$O$505,9,FALSE),0)</f>
        <v>Thai</v>
      </c>
      <c r="H56" s="25" t="str">
        <f>IFERROR(VLOOKUP(B56,'Runner List'!$B$3:$O$505,10,FALSE),0)</f>
        <v>MKT33</v>
      </c>
      <c r="I56" s="24">
        <f ca="1">IFERROR(VLOOKUP(B56,'(2)Check In'!$B$4:$I$848,7,FALSE),0)</f>
        <v>45550.229343749997</v>
      </c>
      <c r="J56" s="24">
        <f>IFERROR(VLOOKUP(B56,'(2)Check In'!$B$4:$I$848,8,FALSE),0)</f>
        <v>0.22916666666666666</v>
      </c>
      <c r="K56" s="24">
        <f t="shared" ca="1" si="2"/>
        <v>45550.572705092593</v>
      </c>
      <c r="L56" s="127">
        <f t="shared" ca="1" si="1"/>
        <v>45550.343538425928</v>
      </c>
      <c r="M56" s="142">
        <f>COUNTIFS($H$3:H56,H56)</f>
        <v>48</v>
      </c>
      <c r="N56" s="142">
        <f>COUNTIFS(F$3:$F56,F56,H$3:$H56,H56,E$3:$E56,E56)</f>
        <v>9</v>
      </c>
      <c r="O56" s="142">
        <f>COUNTIFS($F$3:F56,F56,$H$3:H56,H56)</f>
        <v>25</v>
      </c>
    </row>
    <row r="57" spans="1:17" ht="36" customHeight="1">
      <c r="A57" s="29">
        <v>54</v>
      </c>
      <c r="B57" s="54">
        <v>3378</v>
      </c>
      <c r="C57" s="61" t="str">
        <f>IFERROR(VLOOKUP(B57,'Runner List'!$B$3:$O$505,5,FALSE),0)</f>
        <v>UTHAI PIM </v>
      </c>
      <c r="D57" s="129" t="str">
        <f>IFERROR(VLOOKUP(B57,'Runner List'!$B$3:$O$505,6,FALSE),0)</f>
        <v>UTHAI.P</v>
      </c>
      <c r="E57" s="8" t="str">
        <f>IFERROR(VLOOKUP(B57,'Runner List'!$B$3:$O$505,7,FALSE),0)</f>
        <v>Male</v>
      </c>
      <c r="F57" s="25" t="str">
        <f>IFERROR(VLOOKUP(B57,'Runner List'!$B$3:$O$505,8,FALSE),0)</f>
        <v>50-59</v>
      </c>
      <c r="G57" s="26" t="str">
        <f>IFERROR(VLOOKUP(B57,'Runner List'!$B$3:$O$505,9,FALSE),0)</f>
        <v>Thai</v>
      </c>
      <c r="H57" s="25" t="str">
        <f>IFERROR(VLOOKUP(B57,'Runner List'!$B$3:$O$505,10,FALSE),0)</f>
        <v>MKT33</v>
      </c>
      <c r="I57" s="24">
        <f ca="1">IFERROR(VLOOKUP(B57,'(2)Check In'!$B$4:$I$848,7,FALSE),0)</f>
        <v>45550.228953124999</v>
      </c>
      <c r="J57" s="24">
        <f>IFERROR(VLOOKUP(B57,'(2)Check In'!$B$4:$I$848,8,FALSE),0)</f>
        <v>0.22916666666666666</v>
      </c>
      <c r="K57" s="24">
        <f t="shared" ca="1" si="2"/>
        <v>45550.574513888889</v>
      </c>
      <c r="L57" s="127">
        <f t="shared" ca="1" si="1"/>
        <v>45550.345347222225</v>
      </c>
      <c r="M57" s="142">
        <f>COUNTIFS($H$3:H57,H57)</f>
        <v>49</v>
      </c>
      <c r="N57" s="142">
        <f>COUNTIFS(F$3:$F57,F57,H$3:$H57,H57,E$3:$E57,E57)</f>
        <v>9</v>
      </c>
      <c r="O57" s="142">
        <f>COUNTIFS($F$3:F57,F57,$H$3:H57,H57)</f>
        <v>10</v>
      </c>
    </row>
    <row r="58" spans="1:17" ht="36" customHeight="1">
      <c r="A58" s="28">
        <v>55</v>
      </c>
      <c r="B58" s="54">
        <v>3335</v>
      </c>
      <c r="C58" s="61" t="str">
        <f>IFERROR(VLOOKUP(B58,'Runner List'!$B$3:$O$505,5,FALSE),0)</f>
        <v>SUDARAT TAOLAT</v>
      </c>
      <c r="D58" s="129" t="str">
        <f>IFERROR(VLOOKUP(B58,'Runner List'!$B$3:$O$505,6,FALSE),0)</f>
        <v>SUDARAT.T</v>
      </c>
      <c r="E58" s="8" t="str">
        <f>IFERROR(VLOOKUP(B58,'Runner List'!$B$3:$O$505,7,FALSE),0)</f>
        <v>Female</v>
      </c>
      <c r="F58" s="25" t="str">
        <f>IFERROR(VLOOKUP(B58,'Runner List'!$B$3:$O$505,8,FALSE),0)</f>
        <v>20-39</v>
      </c>
      <c r="G58" s="26" t="str">
        <f>IFERROR(VLOOKUP(B58,'Runner List'!$B$3:$O$505,9,FALSE),0)</f>
        <v>Thai</v>
      </c>
      <c r="H58" s="25" t="str">
        <f>IFERROR(VLOOKUP(B58,'Runner List'!$B$3:$O$505,10,FALSE),0)</f>
        <v>MKT33</v>
      </c>
      <c r="I58" s="24">
        <f ca="1">IFERROR(VLOOKUP(B58,'(2)Check In'!$B$4:$I$848,7,FALSE),0)</f>
        <v>45550.228148379632</v>
      </c>
      <c r="J58" s="24">
        <f>IFERROR(VLOOKUP(B58,'(2)Check In'!$B$4:$I$848,8,FALSE),0)</f>
        <v>0.22916666666666666</v>
      </c>
      <c r="K58" s="24">
        <f t="shared" ca="1" si="2"/>
        <v>45550.574897453705</v>
      </c>
      <c r="L58" s="127">
        <f t="shared" ca="1" si="1"/>
        <v>45550.345730787041</v>
      </c>
      <c r="M58" s="142">
        <f>COUNTIFS($H$3:H58,H58)</f>
        <v>50</v>
      </c>
      <c r="N58" s="142">
        <f>COUNTIFS(F$3:$F58,F58,H$3:$H58,H58,E$3:$E58,E58)</f>
        <v>10</v>
      </c>
      <c r="O58" s="142">
        <f>COUNTIFS($F$3:F58,F58,$H$3:H58,H58)</f>
        <v>26</v>
      </c>
    </row>
    <row r="59" spans="1:17" ht="36" customHeight="1">
      <c r="A59" s="29">
        <v>56</v>
      </c>
      <c r="B59" s="54">
        <v>3366</v>
      </c>
      <c r="C59" s="61" t="str">
        <f>IFERROR(VLOOKUP(B59,'Runner List'!$B$3:$O$505,5,FALSE),0)</f>
        <v>SUPAROEK NIYOMKARN</v>
      </c>
      <c r="D59" s="129" t="str">
        <f>IFERROR(VLOOKUP(B59,'Runner List'!$B$3:$O$505,6,FALSE),0)</f>
        <v>SUPAROEK.N</v>
      </c>
      <c r="E59" s="8" t="str">
        <f>IFERROR(VLOOKUP(B59,'Runner List'!$B$3:$O$505,7,FALSE),0)</f>
        <v>Male</v>
      </c>
      <c r="F59" s="25" t="str">
        <f>IFERROR(VLOOKUP(B59,'Runner List'!$B$3:$O$505,8,FALSE),0)</f>
        <v>20-39</v>
      </c>
      <c r="G59" s="26" t="str">
        <f>IFERROR(VLOOKUP(B59,'Runner List'!$B$3:$O$505,9,FALSE),0)</f>
        <v>Thai</v>
      </c>
      <c r="H59" s="25" t="str">
        <f>IFERROR(VLOOKUP(B59,'Runner List'!$B$3:$O$505,10,FALSE),0)</f>
        <v>MKT33</v>
      </c>
      <c r="I59" s="24">
        <f ca="1">IFERROR(VLOOKUP(B59,'(2)Check In'!$B$4:$I$848,7,FALSE),0)</f>
        <v>45550.229489004632</v>
      </c>
      <c r="J59" s="24">
        <f>IFERROR(VLOOKUP(B59,'(2)Check In'!$B$4:$I$848,8,FALSE),0)</f>
        <v>0.22916666666666666</v>
      </c>
      <c r="K59" s="24">
        <f t="shared" ca="1" si="2"/>
        <v>45550.575745601855</v>
      </c>
      <c r="L59" s="127">
        <f t="shared" ca="1" si="1"/>
        <v>45550.34657893519</v>
      </c>
      <c r="M59" s="142">
        <f>COUNTIFS($H$3:H59,H59)</f>
        <v>51</v>
      </c>
      <c r="N59" s="142">
        <f>COUNTIFS(F$3:$F59,F59,H$3:$H59,H59,E$3:$E59,E59)</f>
        <v>16</v>
      </c>
      <c r="O59" s="142">
        <f>COUNTIFS($F$3:F59,F59,$H$3:H59,H59)</f>
        <v>27</v>
      </c>
    </row>
    <row r="60" spans="1:17" ht="36" customHeight="1" thickBot="1">
      <c r="A60" s="28">
        <v>57</v>
      </c>
      <c r="B60" s="206">
        <v>3376</v>
      </c>
      <c r="C60" s="207" t="str">
        <f>IFERROR(VLOOKUP(B60,'Runner List'!$B$3:$O$505,5,FALSE),0)</f>
        <v>THUNYALUK BOONPONG</v>
      </c>
      <c r="D60" s="208" t="str">
        <f>IFERROR(VLOOKUP(B60,'Runner List'!$B$3:$O$505,6,FALSE),0)</f>
        <v>THUNYALUK.B</v>
      </c>
      <c r="E60" s="209" t="str">
        <f>IFERROR(VLOOKUP(B60,'Runner List'!$B$3:$O$505,7,FALSE),0)</f>
        <v>Female</v>
      </c>
      <c r="F60" s="210" t="str">
        <f>IFERROR(VLOOKUP(B60,'Runner List'!$B$3:$O$505,8,FALSE),0)</f>
        <v>20-39</v>
      </c>
      <c r="G60" s="211" t="str">
        <f>IFERROR(VLOOKUP(B60,'Runner List'!$B$3:$O$505,9,FALSE),0)</f>
        <v>Thai</v>
      </c>
      <c r="H60" s="210" t="str">
        <f>IFERROR(VLOOKUP(B60,'Runner List'!$B$3:$O$505,10,FALSE),0)</f>
        <v>MKT33</v>
      </c>
      <c r="I60" s="212">
        <f ca="1">IFERROR(VLOOKUP(B60,'(2)Check In'!$B$4:$I$848,7,FALSE),0)</f>
        <v>45550.227148958336</v>
      </c>
      <c r="J60" s="212">
        <f>IFERROR(VLOOKUP(B60,'(2)Check In'!$B$4:$I$848,8,FALSE),0)</f>
        <v>0.22916666666666666</v>
      </c>
      <c r="K60" s="212">
        <f t="shared" ca="1" si="2"/>
        <v>45550.576535995373</v>
      </c>
      <c r="L60" s="213">
        <f t="shared" ca="1" si="1"/>
        <v>45550.347369328709</v>
      </c>
      <c r="M60" s="214">
        <f>COUNTIFS($H$3:H60,H60)</f>
        <v>52</v>
      </c>
      <c r="N60" s="214">
        <f>COUNTIFS(F$3:$F60,F60,H$3:$H60,H60,E$3:$E60,E60)</f>
        <v>11</v>
      </c>
      <c r="O60" s="214">
        <f>COUNTIFS($F$3:F60,F60,$H$3:H60,H60)</f>
        <v>28</v>
      </c>
      <c r="P60" s="216" t="s">
        <v>343</v>
      </c>
      <c r="Q60" s="215"/>
    </row>
    <row r="61" spans="1:17" ht="36" customHeight="1">
      <c r="A61" s="29">
        <v>58</v>
      </c>
      <c r="B61" s="203">
        <v>3374</v>
      </c>
      <c r="C61" s="204" t="str">
        <f>IFERROR(VLOOKUP(B61,'Runner List'!$B$3:$O$505,5,FALSE),0)</f>
        <v>JULARRUCK LOMPAIBOON</v>
      </c>
      <c r="D61" s="129" t="str">
        <f>IFERROR(VLOOKUP(B61,'Runner List'!$B$3:$O$505,6,FALSE),0)</f>
        <v>JULARRUCK.L</v>
      </c>
      <c r="E61" s="25" t="str">
        <f>IFERROR(VLOOKUP(B61,'Runner List'!$B$3:$O$505,7,FALSE),0)</f>
        <v>Female</v>
      </c>
      <c r="F61" s="25" t="str">
        <f>IFERROR(VLOOKUP(B61,'Runner List'!$B$3:$O$505,8,FALSE),0)</f>
        <v>60 Plus</v>
      </c>
      <c r="G61" s="26" t="str">
        <f>IFERROR(VLOOKUP(B61,'Runner List'!$B$3:$O$505,9,FALSE),0)</f>
        <v>Thai</v>
      </c>
      <c r="H61" s="25" t="str">
        <f>IFERROR(VLOOKUP(B61,'Runner List'!$B$3:$O$505,10,FALSE),0)</f>
        <v>MKT33</v>
      </c>
      <c r="I61" s="24">
        <f ca="1">IFERROR(VLOOKUP(B61,'(2)Check In'!$B$4:$I$848,7,FALSE),0)</f>
        <v>45550.226207523148</v>
      </c>
      <c r="J61" s="24">
        <f>IFERROR(VLOOKUP(B61,'(2)Check In'!$B$4:$I$848,8,FALSE),0)</f>
        <v>0.22916666666666666</v>
      </c>
      <c r="K61" s="24">
        <f t="shared" ca="1" si="2"/>
        <v>45550.579489236108</v>
      </c>
      <c r="L61" s="127">
        <f t="shared" ca="1" si="1"/>
        <v>45550.350322569444</v>
      </c>
      <c r="M61" s="205">
        <f>COUNTIFS($H$3:H61,H61)</f>
        <v>53</v>
      </c>
      <c r="N61" s="205">
        <f>COUNTIFS(F$3:$F61,F61,H$3:$H61,H61,E$3:$E61,E61)</f>
        <v>1</v>
      </c>
      <c r="O61" s="205">
        <f>COUNTIFS($F$3:F61,F61,$H$3:H61,H61)</f>
        <v>3</v>
      </c>
    </row>
    <row r="62" spans="1:17" ht="36" customHeight="1">
      <c r="A62" s="28">
        <v>59</v>
      </c>
      <c r="B62" s="54">
        <v>3356</v>
      </c>
      <c r="C62" s="61" t="str">
        <f>IFERROR(VLOOKUP(B62,'Runner List'!$B$3:$O$505,5,FALSE),0)</f>
        <v>MATCHA PHORIN</v>
      </c>
      <c r="D62" s="129" t="str">
        <f>IFERROR(VLOOKUP(B62,'Runner List'!$B$3:$O$505,6,FALSE),0)</f>
        <v>MATCHA.P</v>
      </c>
      <c r="E62" s="8" t="str">
        <f>IFERROR(VLOOKUP(B62,'Runner List'!$B$3:$O$505,7,FALSE),0)</f>
        <v>LGBTIQAN+</v>
      </c>
      <c r="F62" s="25" t="str">
        <f>IFERROR(VLOOKUP(B62,'Runner List'!$B$3:$O$505,8,FALSE),0)</f>
        <v>40-49</v>
      </c>
      <c r="G62" s="26" t="str">
        <f>IFERROR(VLOOKUP(B62,'Runner List'!$B$3:$O$505,9,FALSE),0)</f>
        <v>Thai</v>
      </c>
      <c r="H62" s="25" t="str">
        <f>IFERROR(VLOOKUP(B62,'Runner List'!$B$3:$O$505,10,FALSE),0)</f>
        <v>MKT33</v>
      </c>
      <c r="I62" s="24">
        <f ca="1">IFERROR(VLOOKUP(B62,'(2)Check In'!$B$4:$I$848,7,FALSE),0)</f>
        <v>45550.229064699073</v>
      </c>
      <c r="J62" s="24">
        <f>IFERROR(VLOOKUP(B62,'(2)Check In'!$B$4:$I$848,8,FALSE),0)</f>
        <v>0.22916666666666666</v>
      </c>
      <c r="K62" s="24">
        <f t="shared" ca="1" si="2"/>
        <v>45550.580795486108</v>
      </c>
      <c r="L62" s="127">
        <f t="shared" ca="1" si="1"/>
        <v>45550.351628819444</v>
      </c>
      <c r="M62" s="142">
        <f>COUNTIFS($H$3:H62,H62)</f>
        <v>54</v>
      </c>
      <c r="N62" s="142">
        <f>COUNTIFS(H$3:$H62,H62,E$3:$E62,E62)</f>
        <v>2</v>
      </c>
      <c r="O62" s="142">
        <f>COUNTIFS($F$3:F62,F62,$H$3:H62,H62)</f>
        <v>13</v>
      </c>
    </row>
    <row r="63" spans="1:17" ht="36" customHeight="1">
      <c r="A63" s="29">
        <v>60</v>
      </c>
      <c r="B63" s="54">
        <v>3349</v>
      </c>
      <c r="C63" s="61" t="str">
        <f>IFERROR(VLOOKUP(B63,'Runner List'!$B$3:$O$505,5,FALSE),0)</f>
        <v>ANUCHIT BOONSIRI</v>
      </c>
      <c r="D63" s="129" t="str">
        <f>IFERROR(VLOOKUP(B63,'Runner List'!$B$3:$O$505,6,FALSE),0)</f>
        <v>ANUCHIT.B</v>
      </c>
      <c r="E63" s="8" t="str">
        <f>IFERROR(VLOOKUP(B63,'Runner List'!$B$3:$O$505,7,FALSE),0)</f>
        <v>Male</v>
      </c>
      <c r="F63" s="25" t="str">
        <f>IFERROR(VLOOKUP(B63,'Runner List'!$B$3:$O$505,8,FALSE),0)</f>
        <v>50-59</v>
      </c>
      <c r="G63" s="26" t="str">
        <f>IFERROR(VLOOKUP(B63,'Runner List'!$B$3:$O$505,9,FALSE),0)</f>
        <v>Thai</v>
      </c>
      <c r="H63" s="25" t="str">
        <f>IFERROR(VLOOKUP(B63,'Runner List'!$B$3:$O$505,10,FALSE),0)</f>
        <v>MKT33</v>
      </c>
      <c r="I63" s="24">
        <f ca="1">IFERROR(VLOOKUP(B63,'(2)Check In'!$B$4:$I$848,7,FALSE),0)</f>
        <v>45550.22676863426</v>
      </c>
      <c r="J63" s="24">
        <f>IFERROR(VLOOKUP(B63,'(2)Check In'!$B$4:$I$848,8,FALSE),0)</f>
        <v>0.22916666666666666</v>
      </c>
      <c r="K63" s="24">
        <f t="shared" ca="1" si="2"/>
        <v>45550.583300115744</v>
      </c>
      <c r="L63" s="127">
        <f t="shared" ca="1" si="1"/>
        <v>45550.35413344908</v>
      </c>
      <c r="M63" s="142">
        <f>COUNTIFS($H$3:H63,H63)</f>
        <v>55</v>
      </c>
      <c r="N63" s="142">
        <f>COUNTIFS(F$3:$F63,F63,H$3:$H63,H63,E$3:$E63,E63)</f>
        <v>10</v>
      </c>
      <c r="O63" s="142">
        <f>COUNTIFS($F$3:F63,F63,$H$3:H63,H63)</f>
        <v>11</v>
      </c>
    </row>
    <row r="64" spans="1:17" ht="36" customHeight="1">
      <c r="A64" s="28">
        <v>61</v>
      </c>
      <c r="B64" s="54">
        <v>5047</v>
      </c>
      <c r="C64" s="61" t="str">
        <f>IFERROR(VLOOKUP(B64,'Runner List'!$B$3:$O$505,5,FALSE),0)</f>
        <v xml:space="preserve">TAWATCHAI LATHIANG </v>
      </c>
      <c r="D64" s="129" t="str">
        <f>IFERROR(VLOOKUP(B64,'Runner List'!$B$3:$O$505,6,FALSE),0)</f>
        <v xml:space="preserve">TAWATCHAI LATHIANG </v>
      </c>
      <c r="E64" s="8" t="str">
        <f>IFERROR(VLOOKUP(B64,'Runner List'!$B$3:$O$505,7,FALSE),0)</f>
        <v>Male</v>
      </c>
      <c r="F64" s="25" t="str">
        <f>IFERROR(VLOOKUP(B64,'Runner List'!$B$3:$O$505,8,FALSE),0)</f>
        <v>20-39</v>
      </c>
      <c r="G64" s="26" t="str">
        <f>IFERROR(VLOOKUP(B64,'Runner List'!$B$3:$O$505,9,FALSE),0)</f>
        <v>Thai</v>
      </c>
      <c r="H64" s="25" t="str">
        <f>IFERROR(VLOOKUP(B64,'Runner List'!$B$3:$O$505,10,FALSE),0)</f>
        <v>MKT50</v>
      </c>
      <c r="I64" s="24">
        <f ca="1">IFERROR(VLOOKUP(B64,'(2)Check In'!$B$4:$I$848,7,FALSE),0)</f>
        <v>45550.203999999998</v>
      </c>
      <c r="J64" s="24">
        <f>IFERROR(VLOOKUP(B64,'(2)Check In'!$B$4:$I$848,8,FALSE),0)</f>
        <v>0.20833333333333334</v>
      </c>
      <c r="K64" s="24">
        <f t="shared" ca="1" si="2"/>
        <v>45550.583997222224</v>
      </c>
      <c r="L64" s="127">
        <f t="shared" ca="1" si="1"/>
        <v>45550.375663888888</v>
      </c>
      <c r="M64" s="142">
        <f>COUNTIFS($H$3:H64,H64)</f>
        <v>6</v>
      </c>
      <c r="N64" s="142">
        <f>COUNTIFS(F$3:$F64,F64,H$3:$H64,H64,E$3:$E64,E64)</f>
        <v>1</v>
      </c>
      <c r="O64" s="142">
        <f>COUNTIFS($F$3:F64,F64,$H$3:H64,H64)</f>
        <v>1</v>
      </c>
    </row>
    <row r="65" spans="1:15" ht="36" customHeight="1">
      <c r="A65" s="29">
        <v>62</v>
      </c>
      <c r="B65" s="54">
        <v>3351</v>
      </c>
      <c r="C65" s="61" t="str">
        <f>IFERROR(VLOOKUP(B65,'Runner List'!$B$3:$O$505,5,FALSE),0)</f>
        <v>CHRISTIAN WENDELL</v>
      </c>
      <c r="D65" s="129" t="str">
        <f>IFERROR(VLOOKUP(B65,'Runner List'!$B$3:$O$505,6,FALSE),0)</f>
        <v>CHRISTIAN.W</v>
      </c>
      <c r="E65" s="8" t="str">
        <f>IFERROR(VLOOKUP(B65,'Runner List'!$B$3:$O$505,7,FALSE),0)</f>
        <v>Male</v>
      </c>
      <c r="F65" s="25" t="str">
        <f>IFERROR(VLOOKUP(B65,'Runner List'!$B$3:$O$505,8,FALSE),0)</f>
        <v>40-49</v>
      </c>
      <c r="G65" s="26" t="str">
        <f>IFERROR(VLOOKUP(B65,'Runner List'!$B$3:$O$505,9,FALSE),0)</f>
        <v>Philippines</v>
      </c>
      <c r="H65" s="25" t="str">
        <f>IFERROR(VLOOKUP(B65,'Runner List'!$B$3:$O$505,10,FALSE),0)</f>
        <v>MKT33</v>
      </c>
      <c r="I65" s="24">
        <f ca="1">IFERROR(VLOOKUP(B65,'(2)Check In'!$B$4:$I$848,7,FALSE),0)</f>
        <v>45550.227018287034</v>
      </c>
      <c r="J65" s="24">
        <f>IFERROR(VLOOKUP(B65,'(2)Check In'!$B$4:$I$848,8,FALSE),0)</f>
        <v>0.22916666666666666</v>
      </c>
      <c r="K65" s="24">
        <f t="shared" ca="1" si="2"/>
        <v>45550.589685300925</v>
      </c>
      <c r="L65" s="127">
        <f t="shared" ca="1" si="1"/>
        <v>45550.360518634261</v>
      </c>
      <c r="M65" s="142">
        <f>COUNTIFS($H$3:H65,H65)</f>
        <v>56</v>
      </c>
      <c r="N65" s="142">
        <f>COUNTIFS(F$3:$F65,F65,H$3:$H65,H65,E$3:$E65,E65)</f>
        <v>10</v>
      </c>
      <c r="O65" s="142">
        <f>COUNTIFS($F$3:F65,F65,$H$3:H65,H65)</f>
        <v>14</v>
      </c>
    </row>
    <row r="66" spans="1:15" ht="36" customHeight="1">
      <c r="A66" s="28">
        <v>63</v>
      </c>
      <c r="B66" s="54">
        <v>5040</v>
      </c>
      <c r="C66" s="61" t="str">
        <f>IFERROR(VLOOKUP(B66,'Runner List'!$B$3:$O$505,5,FALSE),0)</f>
        <v>ROBERT MCCONNON</v>
      </c>
      <c r="D66" s="129" t="str">
        <f>IFERROR(VLOOKUP(B66,'Runner List'!$B$3:$O$505,6,FALSE),0)</f>
        <v>ROBERT.M</v>
      </c>
      <c r="E66" s="8" t="str">
        <f>IFERROR(VLOOKUP(B66,'Runner List'!$B$3:$O$505,7,FALSE),0)</f>
        <v>Male</v>
      </c>
      <c r="F66" s="25" t="str">
        <f>IFERROR(VLOOKUP(B66,'Runner List'!$B$3:$O$505,8,FALSE),0)</f>
        <v>40-49</v>
      </c>
      <c r="G66" s="26" t="str">
        <f>IFERROR(VLOOKUP(B66,'Runner List'!$B$3:$O$505,9,FALSE),0)</f>
        <v>Australia</v>
      </c>
      <c r="H66" s="25" t="str">
        <f>IFERROR(VLOOKUP(B66,'Runner List'!$B$3:$O$505,10,FALSE),0)</f>
        <v>MKT50</v>
      </c>
      <c r="I66" s="24">
        <f ca="1">IFERROR(VLOOKUP(B66,'(2)Check In'!$B$4:$I$848,7,FALSE),0)</f>
        <v>45550.203966898145</v>
      </c>
      <c r="J66" s="24">
        <f>IFERROR(VLOOKUP(B66,'(2)Check In'!$B$4:$I$848,8,FALSE),0)</f>
        <v>0.20833333333333334</v>
      </c>
      <c r="K66" s="24">
        <f t="shared" ca="1" si="2"/>
        <v>45550.592258449076</v>
      </c>
      <c r="L66" s="127">
        <f t="shared" ca="1" si="1"/>
        <v>45550.383925115741</v>
      </c>
      <c r="M66" s="142">
        <f>COUNTIFS($H$3:H66,H66)</f>
        <v>7</v>
      </c>
      <c r="N66" s="142">
        <f>COUNTIFS(F$3:$F66,F66,H$3:$H66,H66,E$3:$E66,E66)</f>
        <v>4</v>
      </c>
      <c r="O66" s="142">
        <f>COUNTIFS($F$3:F66,F66,$H$3:H66,H66)</f>
        <v>4</v>
      </c>
    </row>
    <row r="67" spans="1:15" ht="36" customHeight="1">
      <c r="A67" s="29">
        <v>64</v>
      </c>
      <c r="B67" s="54">
        <v>3338</v>
      </c>
      <c r="C67" s="61" t="str">
        <f>IFERROR(VLOOKUP(B67,'Runner List'!$B$3:$O$505,5,FALSE),0)</f>
        <v>PANUWAT BUAYOY</v>
      </c>
      <c r="D67" s="129" t="str">
        <f>IFERROR(VLOOKUP(B67,'Runner List'!$B$3:$O$505,6,FALSE),0)</f>
        <v>PANUWAT.B</v>
      </c>
      <c r="E67" s="8" t="str">
        <f>IFERROR(VLOOKUP(B67,'Runner List'!$B$3:$O$505,7,FALSE),0)</f>
        <v>Male</v>
      </c>
      <c r="F67" s="25" t="str">
        <f>IFERROR(VLOOKUP(B67,'Runner List'!$B$3:$O$505,8,FALSE),0)</f>
        <v>20-39</v>
      </c>
      <c r="G67" s="26" t="str">
        <f>IFERROR(VLOOKUP(B67,'Runner List'!$B$3:$O$505,9,FALSE),0)</f>
        <v>Thai</v>
      </c>
      <c r="H67" s="25" t="str">
        <f>IFERROR(VLOOKUP(B67,'Runner List'!$B$3:$O$505,10,FALSE),0)</f>
        <v>MKT33</v>
      </c>
      <c r="I67" s="24">
        <f ca="1">IFERROR(VLOOKUP(B67,'(2)Check In'!$B$4:$I$848,7,FALSE),0)</f>
        <v>45550.227304976848</v>
      </c>
      <c r="J67" s="24">
        <f>IFERROR(VLOOKUP(B67,'(2)Check In'!$B$4:$I$848,8,FALSE),0)</f>
        <v>0.22916666666666666</v>
      </c>
      <c r="K67" s="24">
        <f t="shared" ca="1" si="2"/>
        <v>45550.601212268521</v>
      </c>
      <c r="L67" s="127">
        <f t="shared" ca="1" si="1"/>
        <v>45550.372045601856</v>
      </c>
      <c r="M67" s="142">
        <f>COUNTIFS($H$3:H67,H67)</f>
        <v>57</v>
      </c>
      <c r="N67" s="142">
        <f>COUNTIFS(F$3:$F67,F67,H$3:$H67,H67,E$3:$E67,E67)</f>
        <v>17</v>
      </c>
      <c r="O67" s="142">
        <f>COUNTIFS($F$3:F67,F67,$H$3:H67,H67)</f>
        <v>29</v>
      </c>
    </row>
    <row r="68" spans="1:15" ht="36" customHeight="1">
      <c r="A68" s="28">
        <v>65</v>
      </c>
      <c r="B68" s="54">
        <v>3326</v>
      </c>
      <c r="C68" s="61" t="str">
        <f>IFERROR(VLOOKUP(B68,'Runner List'!$B$3:$O$505,5,FALSE),0)</f>
        <v>JANTHIMA CHOTISTHAYANGURA</v>
      </c>
      <c r="D68" s="129" t="str">
        <f>IFERROR(VLOOKUP(B68,'Runner List'!$B$3:$O$505,6,FALSE),0)</f>
        <v>JANTHIMA.C</v>
      </c>
      <c r="E68" s="8" t="str">
        <f>IFERROR(VLOOKUP(B68,'Runner List'!$B$3:$O$505,7,FALSE),0)</f>
        <v>Female</v>
      </c>
      <c r="F68" s="25" t="str">
        <f>IFERROR(VLOOKUP(B68,'Runner List'!$B$3:$O$505,8,FALSE),0)</f>
        <v>50-59</v>
      </c>
      <c r="G68" s="26" t="str">
        <f>IFERROR(VLOOKUP(B68,'Runner List'!$B$3:$O$505,9,FALSE),0)</f>
        <v>Thai</v>
      </c>
      <c r="H68" s="25" t="str">
        <f>IFERROR(VLOOKUP(B68,'Runner List'!$B$3:$O$505,10,FALSE),0)</f>
        <v>MKT33</v>
      </c>
      <c r="I68" s="24">
        <f ca="1">IFERROR(VLOOKUP(B68,'(2)Check In'!$B$4:$I$848,7,FALSE),0)</f>
        <v>45550.226524074074</v>
      </c>
      <c r="J68" s="24">
        <f>IFERROR(VLOOKUP(B68,'(2)Check In'!$B$4:$I$848,8,FALSE),0)</f>
        <v>0.22916666666666666</v>
      </c>
      <c r="K68" s="24">
        <f t="shared" ca="1" si="2"/>
        <v>45550.603847222221</v>
      </c>
      <c r="L68" s="127">
        <f t="shared" ref="L68:L111" ca="1" si="3">K68-J68</f>
        <v>45550.374680555557</v>
      </c>
      <c r="M68" s="142">
        <f>COUNTIFS($H$3:H68,H68)</f>
        <v>58</v>
      </c>
      <c r="N68" s="142">
        <f>COUNTIFS(F$3:$F68,F68,H$3:$H68,H68,E$3:$E68,E68)</f>
        <v>2</v>
      </c>
      <c r="O68" s="142">
        <f>COUNTIFS($F$3:F68,F68,$H$3:H68,H68)</f>
        <v>12</v>
      </c>
    </row>
    <row r="69" spans="1:15" ht="36" customHeight="1">
      <c r="A69" s="29">
        <v>66</v>
      </c>
      <c r="B69" s="54">
        <v>3325</v>
      </c>
      <c r="C69" s="61" t="str">
        <f>IFERROR(VLOOKUP(B69,'Runner List'!$B$3:$O$505,5,FALSE),0)</f>
        <v>DARANEE CHOTISTHAYANGURA</v>
      </c>
      <c r="D69" s="129" t="str">
        <f>IFERROR(VLOOKUP(B69,'Runner List'!$B$3:$O$505,6,FALSE),0)</f>
        <v>DARANEE.C</v>
      </c>
      <c r="E69" s="8" t="str">
        <f>IFERROR(VLOOKUP(B69,'Runner List'!$B$3:$O$505,7,FALSE),0)</f>
        <v>Female</v>
      </c>
      <c r="F69" s="25" t="str">
        <f>IFERROR(VLOOKUP(B69,'Runner List'!$B$3:$O$505,8,FALSE),0)</f>
        <v>50-59</v>
      </c>
      <c r="G69" s="26" t="str">
        <f>IFERROR(VLOOKUP(B69,'Runner List'!$B$3:$O$505,9,FALSE),0)</f>
        <v>Thai</v>
      </c>
      <c r="H69" s="25" t="str">
        <f>IFERROR(VLOOKUP(B69,'Runner List'!$B$3:$O$505,10,FALSE),0)</f>
        <v>MKT33</v>
      </c>
      <c r="I69" s="24">
        <f ca="1">IFERROR(VLOOKUP(B69,'(2)Check In'!$B$4:$I$848,7,FALSE),0)</f>
        <v>45550.22655821759</v>
      </c>
      <c r="J69" s="24">
        <f>IFERROR(VLOOKUP(B69,'(2)Check In'!$B$4:$I$848,8,FALSE),0)</f>
        <v>0.22916666666666666</v>
      </c>
      <c r="K69" s="24">
        <f t="shared" ref="K69:K111" ca="1" si="4">IF(B69="","",IF(K69="",NOW(),K69))</f>
        <v>45550.603863888886</v>
      </c>
      <c r="L69" s="127">
        <f t="shared" ca="1" si="3"/>
        <v>45550.374697222222</v>
      </c>
      <c r="M69" s="142">
        <f>COUNTIFS($H$3:H69,H69)</f>
        <v>59</v>
      </c>
      <c r="N69" s="142">
        <f>COUNTIFS(F$3:$F69,F69,H$3:$H69,H69,E$3:$E69,E69)</f>
        <v>3</v>
      </c>
      <c r="O69" s="142">
        <f>COUNTIFS($F$3:F69,F69,$H$3:H69,H69)</f>
        <v>13</v>
      </c>
    </row>
    <row r="70" spans="1:15" ht="36" customHeight="1">
      <c r="A70" s="28">
        <v>67</v>
      </c>
      <c r="B70" s="54">
        <v>3332</v>
      </c>
      <c r="C70" s="61" t="str">
        <f>IFERROR(VLOOKUP(B70,'Runner List'!$B$3:$O$505,5,FALSE),0)</f>
        <v>NIPAWAN JAITANONG</v>
      </c>
      <c r="D70" s="129" t="str">
        <f>IFERROR(VLOOKUP(B70,'Runner List'!$B$3:$O$505,6,FALSE),0)</f>
        <v>NIPAWAN.J</v>
      </c>
      <c r="E70" s="8" t="str">
        <f>IFERROR(VLOOKUP(B70,'Runner List'!$B$3:$O$505,7,FALSE),0)</f>
        <v>Female</v>
      </c>
      <c r="F70" s="25" t="str">
        <f>IFERROR(VLOOKUP(B70,'Runner List'!$B$3:$O$505,8,FALSE),0)</f>
        <v>40-49</v>
      </c>
      <c r="G70" s="26" t="str">
        <f>IFERROR(VLOOKUP(B70,'Runner List'!$B$3:$O$505,9,FALSE),0)</f>
        <v>Thai</v>
      </c>
      <c r="H70" s="25" t="str">
        <f>IFERROR(VLOOKUP(B70,'Runner List'!$B$3:$O$505,10,FALSE),0)</f>
        <v>MKT33</v>
      </c>
      <c r="I70" s="24">
        <f ca="1">IFERROR(VLOOKUP(B70,'(2)Check In'!$B$4:$I$848,7,FALSE),0)</f>
        <v>45550.230993750003</v>
      </c>
      <c r="J70" s="24">
        <f>IFERROR(VLOOKUP(B70,'(2)Check In'!$B$4:$I$848,8,FALSE),0)</f>
        <v>0.22916666666666666</v>
      </c>
      <c r="K70" s="24">
        <f t="shared" ca="1" si="4"/>
        <v>45550.608116550924</v>
      </c>
      <c r="L70" s="127">
        <f t="shared" ca="1" si="3"/>
        <v>45550.37894988426</v>
      </c>
      <c r="M70" s="142">
        <f>COUNTIFS($H$3:H70,H70)</f>
        <v>60</v>
      </c>
      <c r="N70" s="142">
        <f>COUNTIFS(F$3:$F70,F70,H$3:$H70,H70,E$3:$E70,E70)</f>
        <v>4</v>
      </c>
      <c r="O70" s="142">
        <f>COUNTIFS($F$3:F70,F70,$H$3:H70,H70)</f>
        <v>15</v>
      </c>
    </row>
    <row r="71" spans="1:15" ht="36" customHeight="1">
      <c r="A71" s="29">
        <v>68</v>
      </c>
      <c r="B71" s="54">
        <v>3328</v>
      </c>
      <c r="C71" s="61" t="str">
        <f>IFERROR(VLOOKUP(B71,'Runner List'!$B$3:$O$505,5,FALSE),0)</f>
        <v>PHAWINEE TIPHAWANG</v>
      </c>
      <c r="D71" s="129" t="str">
        <f>IFERROR(VLOOKUP(B71,'Runner List'!$B$3:$O$505,6,FALSE),0)</f>
        <v>PHAWINEE.T</v>
      </c>
      <c r="E71" s="8" t="str">
        <f>IFERROR(VLOOKUP(B71,'Runner List'!$B$3:$O$505,7,FALSE),0)</f>
        <v>Female</v>
      </c>
      <c r="F71" s="25" t="str">
        <f>IFERROR(VLOOKUP(B71,'Runner List'!$B$3:$O$505,8,FALSE),0)</f>
        <v>20-39</v>
      </c>
      <c r="G71" s="26" t="str">
        <f>IFERROR(VLOOKUP(B71,'Runner List'!$B$3:$O$505,9,FALSE),0)</f>
        <v>Thai</v>
      </c>
      <c r="H71" s="25" t="str">
        <f>IFERROR(VLOOKUP(B71,'Runner List'!$B$3:$O$505,10,FALSE),0)</f>
        <v>MKT33</v>
      </c>
      <c r="I71" s="24">
        <f ca="1">IFERROR(VLOOKUP(B71,'(2)Check In'!$B$4:$I$848,7,FALSE),0)</f>
        <v>45550.231065856482</v>
      </c>
      <c r="J71" s="24">
        <f>IFERROR(VLOOKUP(B71,'(2)Check In'!$B$4:$I$848,8,FALSE),0)</f>
        <v>0.22916666666666666</v>
      </c>
      <c r="K71" s="24">
        <f t="shared" ca="1" si="4"/>
        <v>45550.608176851849</v>
      </c>
      <c r="L71" s="127">
        <f t="shared" ca="1" si="3"/>
        <v>45550.379010185185</v>
      </c>
      <c r="M71" s="142">
        <f>COUNTIFS($H$3:H71,H71)</f>
        <v>61</v>
      </c>
      <c r="N71" s="142">
        <f>COUNTIFS(F$3:$F71,F71,H$3:$H71,H71,E$3:$E71,E71)</f>
        <v>12</v>
      </c>
      <c r="O71" s="142">
        <f>COUNTIFS($F$3:F71,F71,$H$3:H71,H71)</f>
        <v>30</v>
      </c>
    </row>
    <row r="72" spans="1:15" ht="36" customHeight="1">
      <c r="A72" s="28">
        <v>69</v>
      </c>
      <c r="B72" s="55">
        <v>3354</v>
      </c>
      <c r="C72" s="61" t="str">
        <f>IFERROR(VLOOKUP(B72,'Runner List'!$B$3:$O$505,5,FALSE),0)</f>
        <v>SOMPHOL SIRISARINGKARN</v>
      </c>
      <c r="D72" s="129" t="str">
        <f>IFERROR(VLOOKUP(B72,'Runner List'!$B$3:$O$505,6,FALSE),0)</f>
        <v>SOMPHOL.S</v>
      </c>
      <c r="E72" s="8" t="str">
        <f>IFERROR(VLOOKUP(B72,'Runner List'!$B$3:$O$505,7,FALSE),0)</f>
        <v>Male</v>
      </c>
      <c r="F72" s="25" t="str">
        <f>IFERROR(VLOOKUP(B72,'Runner List'!$B$3:$O$505,8,FALSE),0)</f>
        <v>40-49</v>
      </c>
      <c r="G72" s="26" t="str">
        <f>IFERROR(VLOOKUP(B72,'Runner List'!$B$3:$O$505,9,FALSE),0)</f>
        <v>Thai</v>
      </c>
      <c r="H72" s="25" t="str">
        <f>IFERROR(VLOOKUP(B72,'Runner List'!$B$3:$O$505,10,FALSE),0)</f>
        <v>MKT33</v>
      </c>
      <c r="I72" s="24">
        <f ca="1">IFERROR(VLOOKUP(B72,'(2)Check In'!$B$4:$I$848,7,FALSE),0)</f>
        <v>45550.228185763888</v>
      </c>
      <c r="J72" s="24">
        <f>IFERROR(VLOOKUP(B72,'(2)Check In'!$B$4:$I$848,8,FALSE),0)</f>
        <v>0.22916666666666666</v>
      </c>
      <c r="K72" s="24">
        <f t="shared" ca="1" si="4"/>
        <v>45550.608990509259</v>
      </c>
      <c r="L72" s="127">
        <f t="shared" ca="1" si="3"/>
        <v>45550.379823842595</v>
      </c>
      <c r="M72" s="142">
        <f>COUNTIFS($H$3:H72,H72)</f>
        <v>62</v>
      </c>
      <c r="N72" s="142">
        <f>COUNTIFS(F$3:$F72,F72,H$3:$H72,H72,E$3:$E72,E72)</f>
        <v>11</v>
      </c>
      <c r="O72" s="142">
        <f>COUNTIFS($F$3:F72,F72,$H$3:H72,H72)</f>
        <v>16</v>
      </c>
    </row>
    <row r="73" spans="1:15" ht="36.6">
      <c r="A73" s="29">
        <v>70</v>
      </c>
      <c r="B73" s="54">
        <v>3324</v>
      </c>
      <c r="C73" s="61" t="str">
        <f>IFERROR(VLOOKUP(B73,'Runner List'!$B$3:$O$505,5,FALSE),0)</f>
        <v>NADHAKAN SHINNARANANTANA</v>
      </c>
      <c r="D73" s="129" t="str">
        <f>IFERROR(VLOOKUP(B73,'Runner List'!$B$3:$O$505,6,FALSE),0)</f>
        <v>NADHAKAN.S</v>
      </c>
      <c r="E73" s="8" t="str">
        <f>IFERROR(VLOOKUP(B73,'Runner List'!$B$3:$O$505,7,FALSE),0)</f>
        <v>Female</v>
      </c>
      <c r="F73" s="25" t="str">
        <f>IFERROR(VLOOKUP(B73,'Runner List'!$B$3:$O$505,8,FALSE),0)</f>
        <v>40-49</v>
      </c>
      <c r="G73" s="26" t="str">
        <f>IFERROR(VLOOKUP(B73,'Runner List'!$B$3:$O$505,9,FALSE),0)</f>
        <v>Thai</v>
      </c>
      <c r="H73" s="25" t="str">
        <f>IFERROR(VLOOKUP(B73,'Runner List'!$B$3:$O$505,10,FALSE),0)</f>
        <v>MKT33</v>
      </c>
      <c r="I73" s="24">
        <f ca="1">IFERROR(VLOOKUP(B73,'(2)Check In'!$B$4:$I$848,7,FALSE),0)</f>
        <v>45550.226594560183</v>
      </c>
      <c r="J73" s="24">
        <f>IFERROR(VLOOKUP(B73,'(2)Check In'!$B$4:$I$848,8,FALSE),0)</f>
        <v>0.22916666666666666</v>
      </c>
      <c r="K73" s="24">
        <f t="shared" ca="1" si="4"/>
        <v>45550.612483912038</v>
      </c>
      <c r="L73" s="127">
        <f t="shared" ca="1" si="3"/>
        <v>45550.383317245374</v>
      </c>
      <c r="M73" s="142">
        <f>COUNTIFS($H$3:H73,H73)</f>
        <v>63</v>
      </c>
      <c r="N73" s="142">
        <f>COUNTIFS(F$3:$F73,F73,H$3:$H73,H73,E$3:$E73,E73)</f>
        <v>5</v>
      </c>
      <c r="O73" s="142">
        <f>COUNTIFS($F$3:F73,F73,$H$3:H73,H73)</f>
        <v>17</v>
      </c>
    </row>
    <row r="74" spans="1:15" ht="36.6">
      <c r="A74" s="28">
        <v>71</v>
      </c>
      <c r="B74" s="55">
        <v>5041</v>
      </c>
      <c r="C74" s="61" t="str">
        <f>IFERROR(VLOOKUP(B74,'Runner List'!$B$3:$O$505,5,FALSE),0)</f>
        <v>ALAN  FLENING</v>
      </c>
      <c r="D74" s="129" t="str">
        <f>IFERROR(VLOOKUP(B74,'Runner List'!$B$3:$O$505,6,FALSE),0)</f>
        <v>ALAN .F</v>
      </c>
      <c r="E74" s="8" t="str">
        <f>IFERROR(VLOOKUP(B74,'Runner List'!$B$3:$O$505,7,FALSE),0)</f>
        <v>Male</v>
      </c>
      <c r="F74" s="25" t="str">
        <f>IFERROR(VLOOKUP(B74,'Runner List'!$B$3:$O$505,8,FALSE),0)</f>
        <v>40-49</v>
      </c>
      <c r="G74" s="26" t="str">
        <f>IFERROR(VLOOKUP(B74,'Runner List'!$B$3:$O$505,9,FALSE),0)</f>
        <v>Australia</v>
      </c>
      <c r="H74" s="25" t="str">
        <f>IFERROR(VLOOKUP(B74,'Runner List'!$B$3:$O$505,10,FALSE),0)</f>
        <v>MKT50</v>
      </c>
      <c r="I74" s="24">
        <f ca="1">IFERROR(VLOOKUP(B74,'(2)Check In'!$B$4:$I$848,7,FALSE),0)</f>
        <v>45550.204085185185</v>
      </c>
      <c r="J74" s="24">
        <f>IFERROR(VLOOKUP(B74,'(2)Check In'!$B$4:$I$848,8,FALSE),0)</f>
        <v>0.20833333333333334</v>
      </c>
      <c r="K74" s="24">
        <f t="shared" ca="1" si="4"/>
        <v>45550.61359108796</v>
      </c>
      <c r="L74" s="127">
        <f t="shared" ca="1" si="3"/>
        <v>45550.405257754624</v>
      </c>
      <c r="M74" s="142">
        <f>COUNTIFS($H$3:H74,H74)</f>
        <v>8</v>
      </c>
      <c r="N74" s="142">
        <f>COUNTIFS(F$3:$F74,F74,H$3:$H74,H74,E$3:$E74,E74)</f>
        <v>5</v>
      </c>
      <c r="O74" s="142">
        <f>COUNTIFS($F$3:F74,F74,$H$3:H74,H74)</f>
        <v>5</v>
      </c>
    </row>
    <row r="75" spans="1:15" ht="36.6">
      <c r="A75" s="29">
        <v>72</v>
      </c>
      <c r="B75" s="54">
        <v>5031</v>
      </c>
      <c r="C75" s="61" t="str">
        <f>IFERROR(VLOOKUP(B75,'Runner List'!$B$3:$O$505,5,FALSE),0)</f>
        <v>EAKKAMOL INTUSOPON</v>
      </c>
      <c r="D75" s="129" t="str">
        <f>IFERROR(VLOOKUP(B75,'Runner List'!$B$3:$O$505,6,FALSE),0)</f>
        <v>EAKKAMOL.I</v>
      </c>
      <c r="E75" s="8" t="str">
        <f>IFERROR(VLOOKUP(B75,'Runner List'!$B$3:$O$505,7,FALSE),0)</f>
        <v>Male</v>
      </c>
      <c r="F75" s="25" t="str">
        <f>IFERROR(VLOOKUP(B75,'Runner List'!$B$3:$O$505,8,FALSE),0)</f>
        <v>40-49</v>
      </c>
      <c r="G75" s="26" t="str">
        <f>IFERROR(VLOOKUP(B75,'Runner List'!$B$3:$O$505,9,FALSE),0)</f>
        <v>Thai</v>
      </c>
      <c r="H75" s="25" t="str">
        <f>IFERROR(VLOOKUP(B75,'Runner List'!$B$3:$O$505,10,FALSE),0)</f>
        <v>MKT50</v>
      </c>
      <c r="I75" s="24">
        <f ca="1">IFERROR(VLOOKUP(B75,'(2)Check In'!$B$4:$I$848,7,FALSE),0)</f>
        <v>45550.206510416669</v>
      </c>
      <c r="J75" s="24">
        <f>IFERROR(VLOOKUP(B75,'(2)Check In'!$B$4:$I$848,8,FALSE),0)</f>
        <v>0.20833333333333334</v>
      </c>
      <c r="K75" s="24">
        <f t="shared" ca="1" si="4"/>
        <v>45550.61647523148</v>
      </c>
      <c r="L75" s="127">
        <f t="shared" ca="1" si="3"/>
        <v>45550.408141898144</v>
      </c>
      <c r="M75" s="142">
        <f>COUNTIFS($H$3:H75,H75)</f>
        <v>9</v>
      </c>
      <c r="N75" s="142">
        <f>COUNTIFS(F$3:$F75,F75,H$3:$H75,H75,E$3:$E75,E75)</f>
        <v>6</v>
      </c>
      <c r="O75" s="142">
        <f>COUNTIFS($F$3:F75,F75,$H$3:H75,H75)</f>
        <v>6</v>
      </c>
    </row>
    <row r="76" spans="1:15" ht="36.6">
      <c r="A76" s="28">
        <v>73</v>
      </c>
      <c r="B76" s="55">
        <v>3347</v>
      </c>
      <c r="C76" s="61" t="str">
        <f>IFERROR(VLOOKUP(B76,'Runner List'!$B$3:$O$505,5,FALSE),0)</f>
        <v>PORNPOT KAJORNJIT</v>
      </c>
      <c r="D76" s="129" t="str">
        <f>IFERROR(VLOOKUP(B76,'Runner List'!$B$3:$O$505,6,FALSE),0)</f>
        <v>PORNPOT.K</v>
      </c>
      <c r="E76" s="8" t="str">
        <f>IFERROR(VLOOKUP(B76,'Runner List'!$B$3:$O$505,7,FALSE),0)</f>
        <v>Male</v>
      </c>
      <c r="F76" s="25" t="str">
        <f>IFERROR(VLOOKUP(B76,'Runner List'!$B$3:$O$505,8,FALSE),0)</f>
        <v>20-39</v>
      </c>
      <c r="G76" s="26" t="str">
        <f>IFERROR(VLOOKUP(B76,'Runner List'!$B$3:$O$505,9,FALSE),0)</f>
        <v>Thai</v>
      </c>
      <c r="H76" s="25" t="str">
        <f>IFERROR(VLOOKUP(B76,'Runner List'!$B$3:$O$505,10,FALSE),0)</f>
        <v>MKT33</v>
      </c>
      <c r="I76" s="24">
        <f ca="1">IFERROR(VLOOKUP(B76,'(2)Check In'!$B$4:$I$848,7,FALSE),0)</f>
        <v>45550.229274999998</v>
      </c>
      <c r="J76" s="24">
        <f>IFERROR(VLOOKUP(B76,'(2)Check In'!$B$4:$I$848,8,FALSE),0)</f>
        <v>0.22916666666666666</v>
      </c>
      <c r="K76" s="24">
        <f t="shared" ca="1" si="4"/>
        <v>45550.622978125</v>
      </c>
      <c r="L76" s="127">
        <f t="shared" ca="1" si="3"/>
        <v>45550.393811458336</v>
      </c>
      <c r="M76" s="142">
        <f>COUNTIFS($H$3:H76,H76)</f>
        <v>64</v>
      </c>
      <c r="N76" s="142">
        <f>COUNTIFS(F$3:$F76,F76,H$3:$H76,H76,E$3:$E76,E76)</f>
        <v>18</v>
      </c>
      <c r="O76" s="142">
        <f>COUNTIFS($F$3:F76,F76,$H$3:H76,H76)</f>
        <v>31</v>
      </c>
    </row>
    <row r="77" spans="1:15" ht="36.6">
      <c r="A77" s="29">
        <v>74</v>
      </c>
      <c r="B77" s="54">
        <v>3315</v>
      </c>
      <c r="C77" s="61" t="str">
        <f>IFERROR(VLOOKUP(B77,'Runner List'!$B$3:$O$505,5,FALSE),0)</f>
        <v>SUCHAT PLEESUDJAI</v>
      </c>
      <c r="D77" s="129" t="str">
        <f>IFERROR(VLOOKUP(B77,'Runner List'!$B$3:$O$505,6,FALSE),0)</f>
        <v>SUCHAT.P</v>
      </c>
      <c r="E77" s="8" t="str">
        <f>IFERROR(VLOOKUP(B77,'Runner List'!$B$3:$O$505,7,FALSE),0)</f>
        <v>Male</v>
      </c>
      <c r="F77" s="25" t="str">
        <f>IFERROR(VLOOKUP(B77,'Runner List'!$B$3:$O$505,8,FALSE),0)</f>
        <v>50-59</v>
      </c>
      <c r="G77" s="26" t="str">
        <f>IFERROR(VLOOKUP(B77,'Runner List'!$B$3:$O$505,9,FALSE),0)</f>
        <v>Thai</v>
      </c>
      <c r="H77" s="25" t="str">
        <f>IFERROR(VLOOKUP(B77,'Runner List'!$B$3:$O$505,10,FALSE),0)</f>
        <v>MKT33</v>
      </c>
      <c r="I77" s="24">
        <f ca="1">IFERROR(VLOOKUP(B77,'(2)Check In'!$B$4:$I$848,7,FALSE),0)</f>
        <v>45550.227791203703</v>
      </c>
      <c r="J77" s="24">
        <f>IFERROR(VLOOKUP(B77,'(2)Check In'!$B$4:$I$848,8,FALSE),0)</f>
        <v>0.22916666666666666</v>
      </c>
      <c r="K77" s="24">
        <f t="shared" ca="1" si="4"/>
        <v>45550.629995254632</v>
      </c>
      <c r="L77" s="127">
        <f t="shared" ca="1" si="3"/>
        <v>45550.400828587968</v>
      </c>
      <c r="M77" s="142">
        <f>COUNTIFS($H$3:H77,H77)</f>
        <v>65</v>
      </c>
      <c r="N77" s="142">
        <f>COUNTIFS(F$3:$F77,F77,H$3:$H77,H77,E$3:$E77,E77)</f>
        <v>11</v>
      </c>
      <c r="O77" s="142">
        <f>COUNTIFS($F$3:F77,F77,$H$3:H77,H77)</f>
        <v>14</v>
      </c>
    </row>
    <row r="78" spans="1:15" ht="36.6">
      <c r="A78" s="28">
        <v>75</v>
      </c>
      <c r="B78" s="55">
        <v>3327</v>
      </c>
      <c r="C78" s="61" t="str">
        <f>IFERROR(VLOOKUP(B78,'Runner List'!$B$3:$O$505,5,FALSE),0)</f>
        <v>NONGLUCK SERMSUPT</v>
      </c>
      <c r="D78" s="129" t="str">
        <f>IFERROR(VLOOKUP(B78,'Runner List'!$B$3:$O$505,6,FALSE),0)</f>
        <v>NONGLUCK.S</v>
      </c>
      <c r="E78" s="8" t="str">
        <f>IFERROR(VLOOKUP(B78,'Runner List'!$B$3:$O$505,7,FALSE),0)</f>
        <v>Female</v>
      </c>
      <c r="F78" s="25" t="str">
        <f>IFERROR(VLOOKUP(B78,'Runner List'!$B$3:$O$505,8,FALSE),0)</f>
        <v>50-59</v>
      </c>
      <c r="G78" s="26" t="str">
        <f>IFERROR(VLOOKUP(B78,'Runner List'!$B$3:$O$505,9,FALSE),0)</f>
        <v>Thai</v>
      </c>
      <c r="H78" s="25" t="str">
        <f>IFERROR(VLOOKUP(B78,'Runner List'!$B$3:$O$505,10,FALSE),0)</f>
        <v>MKT33</v>
      </c>
      <c r="I78" s="24">
        <f ca="1">IFERROR(VLOOKUP(B78,'(2)Check In'!$B$4:$I$848,7,FALSE),0)</f>
        <v>45550.226615046297</v>
      </c>
      <c r="J78" s="24">
        <f>IFERROR(VLOOKUP(B78,'(2)Check In'!$B$4:$I$848,8,FALSE),0)</f>
        <v>0.22916666666666666</v>
      </c>
      <c r="K78" s="24">
        <f t="shared" ca="1" si="4"/>
        <v>45550.630069328705</v>
      </c>
      <c r="L78" s="127">
        <f t="shared" ca="1" si="3"/>
        <v>45550.400902662041</v>
      </c>
      <c r="M78" s="142">
        <f>COUNTIFS($H$3:H78,H78)</f>
        <v>66</v>
      </c>
      <c r="N78" s="142">
        <f>COUNTIFS(F$3:$F78,F78,H$3:$H78,H78,E$3:$E78,E78)</f>
        <v>4</v>
      </c>
      <c r="O78" s="142">
        <f>COUNTIFS($F$3:F78,F78,$H$3:H78,H78)</f>
        <v>15</v>
      </c>
    </row>
    <row r="79" spans="1:15" ht="36.6">
      <c r="A79" s="29">
        <v>76</v>
      </c>
      <c r="B79" s="54">
        <v>5016</v>
      </c>
      <c r="C79" s="61" t="str">
        <f>IFERROR(VLOOKUP(B79,'Runner List'!$B$3:$O$505,5,FALSE),0)</f>
        <v>NARUDAPA WATTANATEERAPAK</v>
      </c>
      <c r="D79" s="129" t="str">
        <f>IFERROR(VLOOKUP(B79,'Runner List'!$B$3:$O$505,6,FALSE),0)</f>
        <v>NARUDAPA.W</v>
      </c>
      <c r="E79" s="8" t="str">
        <f>IFERROR(VLOOKUP(B79,'Runner List'!$B$3:$O$505,7,FALSE),0)</f>
        <v>Female</v>
      </c>
      <c r="F79" s="25" t="str">
        <f>IFERROR(VLOOKUP(B79,'Runner List'!$B$3:$O$505,8,FALSE),0)</f>
        <v>40-49</v>
      </c>
      <c r="G79" s="26" t="str">
        <f>IFERROR(VLOOKUP(B79,'Runner List'!$B$3:$O$505,9,FALSE),0)</f>
        <v>Thai</v>
      </c>
      <c r="H79" s="25" t="str">
        <f>IFERROR(VLOOKUP(B79,'Runner List'!$B$3:$O$505,10,FALSE),0)</f>
        <v>MKT50</v>
      </c>
      <c r="I79" s="24">
        <f ca="1">IFERROR(VLOOKUP(B79,'(2)Check In'!$B$4:$I$848,7,FALSE),0)</f>
        <v>45550.203868634257</v>
      </c>
      <c r="J79" s="24">
        <f>IFERROR(VLOOKUP(B79,'(2)Check In'!$B$4:$I$848,8,FALSE),0)</f>
        <v>0.20833333333333334</v>
      </c>
      <c r="K79" s="24">
        <f t="shared" ca="1" si="4"/>
        <v>45550.636385648148</v>
      </c>
      <c r="L79" s="127">
        <f t="shared" ca="1" si="3"/>
        <v>45550.428052314812</v>
      </c>
      <c r="M79" s="142">
        <f>COUNTIFS($H$3:H79,H79)</f>
        <v>10</v>
      </c>
      <c r="N79" s="142">
        <f>COUNTIFS(F$3:$F79,F79,H$3:$H79,H79,E$3:$E79,E79)</f>
        <v>1</v>
      </c>
      <c r="O79" s="142">
        <f>COUNTIFS($F$3:F79,F79,$H$3:H79,H79)</f>
        <v>7</v>
      </c>
    </row>
    <row r="80" spans="1:15" ht="36.6">
      <c r="A80" s="28">
        <v>77</v>
      </c>
      <c r="B80" s="55">
        <v>5030</v>
      </c>
      <c r="C80" s="61" t="str">
        <f>IFERROR(VLOOKUP(B80,'Runner List'!$B$3:$O$505,5,FALSE),0)</f>
        <v>WEERAWUT PHABMEK</v>
      </c>
      <c r="D80" s="129" t="str">
        <f>IFERROR(VLOOKUP(B80,'Runner List'!$B$3:$O$505,6,FALSE),0)</f>
        <v>WEERAWUT.P</v>
      </c>
      <c r="E80" s="8" t="str">
        <f>IFERROR(VLOOKUP(B80,'Runner List'!$B$3:$O$505,7,FALSE),0)</f>
        <v>Male</v>
      </c>
      <c r="F80" s="25" t="str">
        <f>IFERROR(VLOOKUP(B80,'Runner List'!$B$3:$O$505,8,FALSE),0)</f>
        <v>50-59</v>
      </c>
      <c r="G80" s="26" t="str">
        <f>IFERROR(VLOOKUP(B80,'Runner List'!$B$3:$O$505,9,FALSE),0)</f>
        <v>Thai</v>
      </c>
      <c r="H80" s="25" t="str">
        <f>IFERROR(VLOOKUP(B80,'Runner List'!$B$3:$O$505,10,FALSE),0)</f>
        <v>MKT50</v>
      </c>
      <c r="I80" s="24">
        <f ca="1">IFERROR(VLOOKUP(B80,'(2)Check In'!$B$4:$I$848,7,FALSE),0)</f>
        <v>45550.204244675922</v>
      </c>
      <c r="J80" s="24">
        <f>IFERROR(VLOOKUP(B80,'(2)Check In'!$B$4:$I$848,8,FALSE),0)</f>
        <v>0.20833333333333334</v>
      </c>
      <c r="K80" s="24">
        <f t="shared" ca="1" si="4"/>
        <v>45550.64282025463</v>
      </c>
      <c r="L80" s="127">
        <f t="shared" ca="1" si="3"/>
        <v>45550.434486921295</v>
      </c>
      <c r="M80" s="142">
        <f>COUNTIFS($H$3:H80,H80)</f>
        <v>11</v>
      </c>
      <c r="N80" s="142">
        <f>COUNTIFS(F$3:$F80,F80,H$3:$H80,H80,E$3:$E80,E80)</f>
        <v>2</v>
      </c>
      <c r="O80" s="142">
        <f>COUNTIFS($F$3:F80,F80,$H$3:H80,H80)</f>
        <v>3</v>
      </c>
    </row>
    <row r="81" spans="1:15" ht="36.6">
      <c r="A81" s="29">
        <v>78</v>
      </c>
      <c r="B81" s="54">
        <v>5032</v>
      </c>
      <c r="C81" s="61" t="str">
        <f>IFERROR(VLOOKUP(B81,'Runner List'!$B$3:$O$505,5,FALSE),0)</f>
        <v>MARTIN RIEDINGER</v>
      </c>
      <c r="D81" s="129" t="str">
        <f>IFERROR(VLOOKUP(B81,'Runner List'!$B$3:$O$505,6,FALSE),0)</f>
        <v>MARTIN.R</v>
      </c>
      <c r="E81" s="8" t="str">
        <f>IFERROR(VLOOKUP(B81,'Runner List'!$B$3:$O$505,7,FALSE),0)</f>
        <v>Male</v>
      </c>
      <c r="F81" s="25" t="str">
        <f>IFERROR(VLOOKUP(B81,'Runner List'!$B$3:$O$505,8,FALSE),0)</f>
        <v>40-49</v>
      </c>
      <c r="G81" s="26" t="str">
        <f>IFERROR(VLOOKUP(B81,'Runner List'!$B$3:$O$505,9,FALSE),0)</f>
        <v>German</v>
      </c>
      <c r="H81" s="25" t="str">
        <f>IFERROR(VLOOKUP(B81,'Runner List'!$B$3:$O$505,10,FALSE),0)</f>
        <v>MKT50</v>
      </c>
      <c r="I81" s="24">
        <f ca="1">IFERROR(VLOOKUP(B81,'(2)Check In'!$B$4:$I$848,7,FALSE),0)</f>
        <v>45550.204390509258</v>
      </c>
      <c r="J81" s="24">
        <f>IFERROR(VLOOKUP(B81,'(2)Check In'!$B$4:$I$848,8,FALSE),0)</f>
        <v>0.20833333333333334</v>
      </c>
      <c r="K81" s="24">
        <f t="shared" ca="1" si="4"/>
        <v>45550.657707986109</v>
      </c>
      <c r="L81" s="127">
        <f t="shared" ca="1" si="3"/>
        <v>45550.449374652773</v>
      </c>
      <c r="M81" s="142">
        <f>COUNTIFS($H$3:H81,H81)</f>
        <v>12</v>
      </c>
      <c r="N81" s="142">
        <f>COUNTIFS(F$3:$F81,F81,H$3:$H81,H81,E$3:$E81,E81)</f>
        <v>7</v>
      </c>
      <c r="O81" s="142">
        <f>COUNTIFS($F$3:F81,F81,$H$3:H81,H81)</f>
        <v>8</v>
      </c>
    </row>
    <row r="82" spans="1:15" ht="36.6">
      <c r="A82" s="28">
        <v>79</v>
      </c>
      <c r="B82" s="55">
        <v>5019</v>
      </c>
      <c r="C82" s="61" t="str">
        <f>IFERROR(VLOOKUP(B82,'Runner List'!$B$3:$O$505,5,FALSE),0)</f>
        <v>JAIYASIDHA GLANKWAHMDEE</v>
      </c>
      <c r="D82" s="129" t="str">
        <f>IFERROR(VLOOKUP(B82,'Runner List'!$B$3:$O$505,6,FALSE),0)</f>
        <v>JAIYASIDHA.G</v>
      </c>
      <c r="E82" s="8" t="str">
        <f>IFERROR(VLOOKUP(B82,'Runner List'!$B$3:$O$505,7,FALSE),0)</f>
        <v>Male</v>
      </c>
      <c r="F82" s="25" t="str">
        <f>IFERROR(VLOOKUP(B82,'Runner List'!$B$3:$O$505,8,FALSE),0)</f>
        <v>20-39</v>
      </c>
      <c r="G82" s="26" t="str">
        <f>IFERROR(VLOOKUP(B82,'Runner List'!$B$3:$O$505,9,FALSE),0)</f>
        <v>Thai</v>
      </c>
      <c r="H82" s="25" t="str">
        <f>IFERROR(VLOOKUP(B82,'Runner List'!$B$3:$O$505,10,FALSE),0)</f>
        <v>MKT50</v>
      </c>
      <c r="I82" s="24">
        <f ca="1">IFERROR(VLOOKUP(B82,'(2)Check In'!$B$4:$I$848,7,FALSE),0)</f>
        <v>45550.20504872685</v>
      </c>
      <c r="J82" s="24">
        <f>IFERROR(VLOOKUP(B82,'(2)Check In'!$B$4:$I$848,8,FALSE),0)</f>
        <v>0.20833333333333334</v>
      </c>
      <c r="K82" s="24">
        <f t="shared" ca="1" si="4"/>
        <v>45550.664027199076</v>
      </c>
      <c r="L82" s="127">
        <f t="shared" ca="1" si="3"/>
        <v>45550.455693865741</v>
      </c>
      <c r="M82" s="142">
        <f>COUNTIFS($H$3:H82,H82)</f>
        <v>13</v>
      </c>
      <c r="N82" s="142">
        <f>COUNTIFS(F$3:$F82,F82,H$3:$H82,H82,E$3:$E82,E82)</f>
        <v>2</v>
      </c>
      <c r="O82" s="142">
        <f>COUNTIFS($F$3:F82,F82,$H$3:H82,H82)</f>
        <v>2</v>
      </c>
    </row>
    <row r="83" spans="1:15" ht="36.6">
      <c r="A83" s="29">
        <v>80</v>
      </c>
      <c r="B83" s="54">
        <v>5024</v>
      </c>
      <c r="C83" s="61" t="str">
        <f>IFERROR(VLOOKUP(B83,'Runner List'!$B$3:$O$505,5,FALSE),0)</f>
        <v>ROSSARIN JINATHAM</v>
      </c>
      <c r="D83" s="129" t="str">
        <f>IFERROR(VLOOKUP(B83,'Runner List'!$B$3:$O$505,6,FALSE),0)</f>
        <v>ROSSARIN.J</v>
      </c>
      <c r="E83" s="8" t="str">
        <f>IFERROR(VLOOKUP(B83,'Runner List'!$B$3:$O$505,7,FALSE),0)</f>
        <v>Female</v>
      </c>
      <c r="F83" s="25" t="str">
        <f>IFERROR(VLOOKUP(B83,'Runner List'!$B$3:$O$505,8,FALSE),0)</f>
        <v>40-49</v>
      </c>
      <c r="G83" s="26" t="str">
        <f>IFERROR(VLOOKUP(B83,'Runner List'!$B$3:$O$505,9,FALSE),0)</f>
        <v>Thai</v>
      </c>
      <c r="H83" s="25" t="str">
        <f>IFERROR(VLOOKUP(B83,'Runner List'!$B$3:$O$505,10,FALSE),0)</f>
        <v>MKT50</v>
      </c>
      <c r="I83" s="24">
        <f ca="1">IFERROR(VLOOKUP(B83,'(2)Check In'!$B$4:$I$848,7,FALSE),0)</f>
        <v>45550.204493750003</v>
      </c>
      <c r="J83" s="24">
        <f>IFERROR(VLOOKUP(B83,'(2)Check In'!$B$4:$I$848,8,FALSE),0)</f>
        <v>0.20833333333333334</v>
      </c>
      <c r="K83" s="24">
        <f t="shared" ca="1" si="4"/>
        <v>45550.672606018517</v>
      </c>
      <c r="L83" s="127">
        <f t="shared" ca="1" si="3"/>
        <v>45550.464272685182</v>
      </c>
      <c r="M83" s="142">
        <f>COUNTIFS($H$3:H83,H83)</f>
        <v>14</v>
      </c>
      <c r="N83" s="142">
        <f>COUNTIFS(F$3:$F83,F83,H$3:$H83,H83,E$3:$E83,E83)</f>
        <v>2</v>
      </c>
      <c r="O83" s="142">
        <f>COUNTIFS($F$3:F83,F83,$H$3:H83,H83)</f>
        <v>9</v>
      </c>
    </row>
    <row r="84" spans="1:15" ht="36.6">
      <c r="A84" s="28">
        <v>81</v>
      </c>
      <c r="B84" s="55">
        <v>5033</v>
      </c>
      <c r="C84" s="61" t="str">
        <f>IFERROR(VLOOKUP(B84,'Runner List'!$B$3:$O$505,5,FALSE),0)</f>
        <v>THANET THAMMASRIRAK</v>
      </c>
      <c r="D84" s="129" t="str">
        <f>IFERROR(VLOOKUP(B84,'Runner List'!$B$3:$O$505,6,FALSE),0)</f>
        <v>THANET.T</v>
      </c>
      <c r="E84" s="8" t="str">
        <f>IFERROR(VLOOKUP(B84,'Runner List'!$B$3:$O$505,7,FALSE),0)</f>
        <v>Male</v>
      </c>
      <c r="F84" s="25" t="str">
        <f>IFERROR(VLOOKUP(B84,'Runner List'!$B$3:$O$505,8,FALSE),0)</f>
        <v>50-59</v>
      </c>
      <c r="G84" s="26" t="str">
        <f>IFERROR(VLOOKUP(B84,'Runner List'!$B$3:$O$505,9,FALSE),0)</f>
        <v>Thai</v>
      </c>
      <c r="H84" s="25" t="str">
        <f>IFERROR(VLOOKUP(B84,'Runner List'!$B$3:$O$505,10,FALSE),0)</f>
        <v>MKT50</v>
      </c>
      <c r="I84" s="24">
        <f ca="1">IFERROR(VLOOKUP(B84,'(2)Check In'!$B$4:$I$848,7,FALSE),0)</f>
        <v>45550.205329976852</v>
      </c>
      <c r="J84" s="24">
        <f>IFERROR(VLOOKUP(B84,'(2)Check In'!$B$4:$I$848,8,FALSE),0)</f>
        <v>0.20833333333333334</v>
      </c>
      <c r="K84" s="24">
        <f t="shared" ca="1" si="4"/>
        <v>45550.672895138887</v>
      </c>
      <c r="L84" s="127">
        <f t="shared" ca="1" si="3"/>
        <v>45550.464561805551</v>
      </c>
      <c r="M84" s="142">
        <f>COUNTIFS($H$3:H84,H84)</f>
        <v>15</v>
      </c>
      <c r="N84" s="142">
        <f>COUNTIFS(F$3:$F84,F84,H$3:$H84,H84,E$3:$E84,E84)</f>
        <v>3</v>
      </c>
      <c r="O84" s="142">
        <f>COUNTIFS($F$3:F84,F84,$H$3:H84,H84)</f>
        <v>4</v>
      </c>
    </row>
    <row r="85" spans="1:15" ht="36.6">
      <c r="A85" s="29">
        <v>82</v>
      </c>
      <c r="B85" s="54">
        <v>5038</v>
      </c>
      <c r="C85" s="61" t="str">
        <f>IFERROR(VLOOKUP(B85,'Runner List'!$B$3:$O$505,5,FALSE),0)</f>
        <v>SAMART THONGDANGNGAM</v>
      </c>
      <c r="D85" s="129" t="str">
        <f>IFERROR(VLOOKUP(B85,'Runner List'!$B$3:$O$505,6,FALSE),0)</f>
        <v>SAMART.T</v>
      </c>
      <c r="E85" s="8" t="str">
        <f>IFERROR(VLOOKUP(B85,'Runner List'!$B$3:$O$505,7,FALSE),0)</f>
        <v>Male</v>
      </c>
      <c r="F85" s="25" t="str">
        <f>IFERROR(VLOOKUP(B85,'Runner List'!$B$3:$O$505,8,FALSE),0)</f>
        <v>40-49</v>
      </c>
      <c r="G85" s="26" t="str">
        <f>IFERROR(VLOOKUP(B85,'Runner List'!$B$3:$O$505,9,FALSE),0)</f>
        <v>Thai</v>
      </c>
      <c r="H85" s="25" t="str">
        <f>IFERROR(VLOOKUP(B85,'Runner List'!$B$3:$O$505,10,FALSE),0)</f>
        <v>MKT50</v>
      </c>
      <c r="I85" s="24">
        <f ca="1">IFERROR(VLOOKUP(B85,'(2)Check In'!$B$4:$I$848,7,FALSE),0)</f>
        <v>45550.206086574071</v>
      </c>
      <c r="J85" s="24">
        <f>IFERROR(VLOOKUP(B85,'(2)Check In'!$B$4:$I$848,8,FALSE),0)</f>
        <v>0.20833333333333334</v>
      </c>
      <c r="K85" s="24">
        <f t="shared" ca="1" si="4"/>
        <v>45550.694731134259</v>
      </c>
      <c r="L85" s="127">
        <f t="shared" ca="1" si="3"/>
        <v>45550.486397800923</v>
      </c>
      <c r="M85" s="142">
        <f>COUNTIFS($H$3:H85,H85)</f>
        <v>16</v>
      </c>
      <c r="N85" s="142">
        <f>COUNTIFS(F$3:$F85,F85,H$3:$H85,H85,E$3:$E85,E85)</f>
        <v>8</v>
      </c>
      <c r="O85" s="142">
        <f>COUNTIFS($F$3:F85,F85,$H$3:H85,H85)</f>
        <v>10</v>
      </c>
    </row>
    <row r="86" spans="1:15" ht="36.6">
      <c r="A86" s="28">
        <v>83</v>
      </c>
      <c r="B86" s="55">
        <v>5039</v>
      </c>
      <c r="C86" s="61" t="str">
        <f>IFERROR(VLOOKUP(B86,'Runner List'!$B$3:$O$505,5,FALSE),0)</f>
        <v>KITTIVUT KAEWPRASERT</v>
      </c>
      <c r="D86" s="129" t="str">
        <f>IFERROR(VLOOKUP(B86,'Runner List'!$B$3:$O$505,6,FALSE),0)</f>
        <v>KITTIVUT.K</v>
      </c>
      <c r="E86" s="8" t="str">
        <f>IFERROR(VLOOKUP(B86,'Runner List'!$B$3:$O$505,7,FALSE),0)</f>
        <v>Male</v>
      </c>
      <c r="F86" s="25" t="str">
        <f>IFERROR(VLOOKUP(B86,'Runner List'!$B$3:$O$505,8,FALSE),0)</f>
        <v>40-49</v>
      </c>
      <c r="G86" s="26" t="str">
        <f>IFERROR(VLOOKUP(B86,'Runner List'!$B$3:$O$505,9,FALSE),0)</f>
        <v>Thai</v>
      </c>
      <c r="H86" s="25" t="str">
        <f>IFERROR(VLOOKUP(B86,'Runner List'!$B$3:$O$505,10,FALSE),0)</f>
        <v>MKT50</v>
      </c>
      <c r="I86" s="24">
        <f ca="1">IFERROR(VLOOKUP(B86,'(2)Check In'!$B$4:$I$848,7,FALSE),0)</f>
        <v>45550.204888425927</v>
      </c>
      <c r="J86" s="24">
        <f>IFERROR(VLOOKUP(B86,'(2)Check In'!$B$4:$I$848,8,FALSE),0)</f>
        <v>0.20833333333333334</v>
      </c>
      <c r="K86" s="24">
        <f t="shared" ca="1" si="4"/>
        <v>45550.698852893518</v>
      </c>
      <c r="L86" s="127">
        <f t="shared" ca="1" si="3"/>
        <v>45550.490519560182</v>
      </c>
      <c r="M86" s="142">
        <f>COUNTIFS($H$3:H86,H86)</f>
        <v>17</v>
      </c>
      <c r="N86" s="142">
        <f>COUNTIFS(F$3:$F86,F86,H$3:$H86,H86,E$3:$E86,E86)</f>
        <v>9</v>
      </c>
      <c r="O86" s="142">
        <f>COUNTIFS($F$3:F86,F86,$H$3:H86,H86)</f>
        <v>11</v>
      </c>
    </row>
    <row r="87" spans="1:15" ht="36.6">
      <c r="A87" s="29">
        <v>84</v>
      </c>
      <c r="B87" s="54">
        <v>5050</v>
      </c>
      <c r="C87" s="61" t="str">
        <f>IFERROR(VLOOKUP(B87,'Runner List'!$B$3:$O$505,5,FALSE),0)</f>
        <v>THANAPHAT CHAIPOH</v>
      </c>
      <c r="D87" s="129" t="str">
        <f>IFERROR(VLOOKUP(B87,'Runner List'!$B$3:$O$505,6,FALSE),0)</f>
        <v>THANAPHAT CHAIPOH</v>
      </c>
      <c r="E87" s="8" t="str">
        <f>IFERROR(VLOOKUP(B87,'Runner List'!$B$3:$O$505,7,FALSE),0)</f>
        <v>LGBTIQAN+</v>
      </c>
      <c r="F87" s="25">
        <f>IFERROR(VLOOKUP(B87,'Runner List'!$B$3:$O$505,8,FALSE),0)</f>
        <v>0</v>
      </c>
      <c r="G87" s="26" t="str">
        <f>IFERROR(VLOOKUP(B87,'Runner List'!$B$3:$O$505,9,FALSE),0)</f>
        <v>Thai</v>
      </c>
      <c r="H87" s="25" t="str">
        <f>IFERROR(VLOOKUP(B87,'Runner List'!$B$3:$O$505,10,FALSE),0)</f>
        <v>MKT50</v>
      </c>
      <c r="I87" s="24">
        <f ca="1">IFERROR(VLOOKUP(B87,'(2)Check In'!$B$4:$I$848,7,FALSE),0)</f>
        <v>45550.205363657406</v>
      </c>
      <c r="J87" s="24">
        <f>IFERROR(VLOOKUP(B87,'(2)Check In'!$B$4:$I$848,8,FALSE),0)</f>
        <v>0.20833333333333334</v>
      </c>
      <c r="K87" s="24">
        <f t="shared" ca="1" si="4"/>
        <v>45550.70422615741</v>
      </c>
      <c r="L87" s="127">
        <f t="shared" ca="1" si="3"/>
        <v>45550.495892824074</v>
      </c>
      <c r="M87" s="142">
        <f>COUNTIFS($H$3:H87,H87)</f>
        <v>18</v>
      </c>
      <c r="N87" s="142">
        <f>COUNTIFS(F$3:$F87,F87,H$3:$H87,H87,E$3:$E87,E87)</f>
        <v>1</v>
      </c>
      <c r="O87" s="142">
        <f>COUNTIFS($F$3:F87,F87,$H$3:H87,H87)</f>
        <v>1</v>
      </c>
    </row>
    <row r="88" spans="1:15" ht="36.6">
      <c r="A88" s="28">
        <v>85</v>
      </c>
      <c r="B88" s="55">
        <v>5042</v>
      </c>
      <c r="C88" s="61" t="str">
        <f>IFERROR(VLOOKUP(B88,'Runner List'!$B$3:$O$505,5,FALSE),0)</f>
        <v>TIMOTHY EDWARDS</v>
      </c>
      <c r="D88" s="129" t="str">
        <f>IFERROR(VLOOKUP(B88,'Runner List'!$B$3:$O$505,6,FALSE),0)</f>
        <v>TIMOTHY.E</v>
      </c>
      <c r="E88" s="8" t="str">
        <f>IFERROR(VLOOKUP(B88,'Runner List'!$B$3:$O$505,7,FALSE),0)</f>
        <v>Male</v>
      </c>
      <c r="F88" s="25" t="str">
        <f>IFERROR(VLOOKUP(B88,'Runner List'!$B$3:$O$505,8,FALSE),0)</f>
        <v>40-49</v>
      </c>
      <c r="G88" s="26" t="str">
        <f>IFERROR(VLOOKUP(B88,'Runner List'!$B$3:$O$505,9,FALSE),0)</f>
        <v>USA</v>
      </c>
      <c r="H88" s="25" t="str">
        <f>IFERROR(VLOOKUP(B88,'Runner List'!$B$3:$O$505,10,FALSE),0)</f>
        <v>MKT50</v>
      </c>
      <c r="I88" s="24">
        <f ca="1">IFERROR(VLOOKUP(B88,'(2)Check In'!$B$4:$I$848,7,FALSE),0)</f>
        <v>45550.206390740743</v>
      </c>
      <c r="J88" s="24">
        <f>IFERROR(VLOOKUP(B88,'(2)Check In'!$B$4:$I$848,8,FALSE),0)</f>
        <v>0.20833333333333334</v>
      </c>
      <c r="K88" s="24">
        <f t="shared" ca="1" si="4"/>
        <v>45550.710032175928</v>
      </c>
      <c r="L88" s="127">
        <f t="shared" ca="1" si="3"/>
        <v>45550.501698842592</v>
      </c>
      <c r="M88" s="142">
        <f>COUNTIFS($H$3:H88,H88)</f>
        <v>19</v>
      </c>
      <c r="N88" s="142">
        <f>COUNTIFS(F$3:$F88,F88,H$3:$H88,H88,E$3:$E88,E88)</f>
        <v>10</v>
      </c>
      <c r="O88" s="142">
        <f>COUNTIFS($F$3:F88,F88,$H$3:H88,H88)</f>
        <v>12</v>
      </c>
    </row>
    <row r="89" spans="1:15" ht="36.6">
      <c r="A89" s="29">
        <v>86</v>
      </c>
      <c r="B89" s="54">
        <v>5049</v>
      </c>
      <c r="C89" s="61" t="str">
        <f>IFERROR(VLOOKUP(B89,'Runner List'!$B$3:$O$505,5,FALSE),0)</f>
        <v>SURAPONG PORNPRADIT</v>
      </c>
      <c r="D89" s="129" t="str">
        <f>IFERROR(VLOOKUP(B89,'Runner List'!$B$3:$O$505,6,FALSE),0)</f>
        <v>SURAPONG PORNPRADIT</v>
      </c>
      <c r="E89" s="8" t="str">
        <f>IFERROR(VLOOKUP(B89,'Runner List'!$B$3:$O$505,7,FALSE),0)</f>
        <v>Male</v>
      </c>
      <c r="F89" s="25" t="str">
        <f>IFERROR(VLOOKUP(B89,'Runner List'!$B$3:$O$505,8,FALSE),0)</f>
        <v>60 Plus</v>
      </c>
      <c r="G89" s="26" t="str">
        <f>IFERROR(VLOOKUP(B89,'Runner List'!$B$3:$O$505,9,FALSE),0)</f>
        <v>Thai</v>
      </c>
      <c r="H89" s="25" t="str">
        <f>IFERROR(VLOOKUP(B89,'Runner List'!$B$3:$O$505,10,FALSE),0)</f>
        <v>MKT50</v>
      </c>
      <c r="I89" s="24">
        <f ca="1">IFERROR(VLOOKUP(B89,'(2)Check In'!$B$4:$I$848,7,FALSE),0)</f>
        <v>45550.204728703706</v>
      </c>
      <c r="J89" s="24">
        <f>IFERROR(VLOOKUP(B89,'(2)Check In'!$B$4:$I$848,8,FALSE),0)</f>
        <v>0.20833333333333334</v>
      </c>
      <c r="K89" s="24">
        <f t="shared" ca="1" si="4"/>
        <v>45550.732709143522</v>
      </c>
      <c r="L89" s="127">
        <f t="shared" ca="1" si="3"/>
        <v>45550.524375810186</v>
      </c>
      <c r="M89" s="142">
        <f>COUNTIFS($H$3:H89,H89)</f>
        <v>20</v>
      </c>
      <c r="N89" s="142">
        <f>COUNTIFS(F$3:$F89,F89,H$3:$H89,H89,E$3:$E89,E89)</f>
        <v>1</v>
      </c>
      <c r="O89" s="142">
        <f>COUNTIFS($F$3:F89,F89,$H$3:H89,H89)</f>
        <v>1</v>
      </c>
    </row>
    <row r="90" spans="1:15" ht="36.6">
      <c r="A90" s="28">
        <v>87</v>
      </c>
      <c r="B90" s="54">
        <v>5021</v>
      </c>
      <c r="C90" s="61" t="str">
        <f>IFERROR(VLOOKUP(B90,'Runner List'!$B$3:$O$505,5,FALSE),0)</f>
        <v>KANOKRUD GLANKWAHMDEE</v>
      </c>
      <c r="D90" s="129" t="str">
        <f>IFERROR(VLOOKUP(B90,'Runner List'!$B$3:$O$505,6,FALSE),0)</f>
        <v>KANOKRUD.G</v>
      </c>
      <c r="E90" s="8" t="str">
        <f>IFERROR(VLOOKUP(B90,'Runner List'!$B$3:$O$505,7,FALSE),0)</f>
        <v>Female</v>
      </c>
      <c r="F90" s="25" t="str">
        <f>IFERROR(VLOOKUP(B90,'Runner List'!$B$3:$O$505,8,FALSE),0)</f>
        <v>60 Plus</v>
      </c>
      <c r="G90" s="26" t="str">
        <f>IFERROR(VLOOKUP(B90,'Runner List'!$B$3:$O$505,9,FALSE),0)</f>
        <v>Thai</v>
      </c>
      <c r="H90" s="25" t="str">
        <f>IFERROR(VLOOKUP(B90,'Runner List'!$B$3:$O$505,10,FALSE),0)</f>
        <v>MKT50</v>
      </c>
      <c r="I90" s="24">
        <f ca="1">IFERROR(VLOOKUP(B90,'(2)Check In'!$B$4:$I$848,7,FALSE),0)</f>
        <v>45550.204919328702</v>
      </c>
      <c r="J90" s="24">
        <f>IFERROR(VLOOKUP(B90,'(2)Check In'!$B$4:$I$848,8,FALSE),0)</f>
        <v>0.20833333333333334</v>
      </c>
      <c r="K90" s="24">
        <f ca="1">IF(B90="","",IF(K90="",NOW(),K90))</f>
        <v>45550.732856249997</v>
      </c>
      <c r="L90" s="127">
        <f t="shared" ca="1" si="3"/>
        <v>45550.524522916661</v>
      </c>
      <c r="M90" s="142">
        <f>COUNTIFS($H$3:H90,H90)</f>
        <v>21</v>
      </c>
      <c r="N90" s="142">
        <f>COUNTIFS(F$3:$F90,F90,H$3:$H90,H90,E$3:$E90,E90)</f>
        <v>1</v>
      </c>
      <c r="O90" s="142">
        <f>COUNTIFS($F$3:F90,F90,$H$3:H90,H90)</f>
        <v>2</v>
      </c>
    </row>
    <row r="91" spans="1:15" ht="36.6">
      <c r="A91" s="29">
        <v>88</v>
      </c>
      <c r="B91" s="55">
        <v>5020</v>
      </c>
      <c r="C91" s="61" t="str">
        <f>IFERROR(VLOOKUP(B91,'Runner List'!$B$3:$O$505,5,FALSE),0)</f>
        <v>BORWORNVIDHYA GLANKWAHMDEE</v>
      </c>
      <c r="D91" s="129" t="str">
        <f>IFERROR(VLOOKUP(B91,'Runner List'!$B$3:$O$505,6,FALSE),0)</f>
        <v>BORWORNVIDHYA.G</v>
      </c>
      <c r="E91" s="8" t="str">
        <f>IFERROR(VLOOKUP(B91,'Runner List'!$B$3:$O$505,7,FALSE),0)</f>
        <v>Male</v>
      </c>
      <c r="F91" s="25" t="str">
        <f>IFERROR(VLOOKUP(B91,'Runner List'!$B$3:$O$505,8,FALSE),0)</f>
        <v>60 Plus</v>
      </c>
      <c r="G91" s="26" t="str">
        <f>IFERROR(VLOOKUP(B91,'Runner List'!$B$3:$O$505,9,FALSE),0)</f>
        <v>Thai</v>
      </c>
      <c r="H91" s="25" t="str">
        <f>IFERROR(VLOOKUP(B91,'Runner List'!$B$3:$O$505,10,FALSE),0)</f>
        <v>MKT50</v>
      </c>
      <c r="I91" s="24">
        <f ca="1">IFERROR(VLOOKUP(B91,'(2)Check In'!$B$4:$I$848,7,FALSE),0)</f>
        <v>45550.204945138888</v>
      </c>
      <c r="J91" s="24">
        <f>IFERROR(VLOOKUP(B91,'(2)Check In'!$B$4:$I$848,8,FALSE),0)</f>
        <v>0.20833333333333334</v>
      </c>
      <c r="K91" s="24">
        <f ca="1">IF(B91="","",IF(K91="",NOW(),K91))</f>
        <v>45550.732889120372</v>
      </c>
      <c r="L91" s="127">
        <f t="shared" ca="1" si="3"/>
        <v>45550.524555787037</v>
      </c>
      <c r="M91" s="142">
        <f>COUNTIFS($H$3:H91,H91)</f>
        <v>22</v>
      </c>
      <c r="N91" s="142">
        <f>COUNTIFS(F$3:$F91,F91,H$3:$H91,H91,E$3:$E91,E91)</f>
        <v>2</v>
      </c>
      <c r="O91" s="142">
        <f>COUNTIFS($F$3:F91,F91,$H$3:H91,H91)</f>
        <v>3</v>
      </c>
    </row>
    <row r="92" spans="1:15" ht="36.6">
      <c r="A92" s="28">
        <v>89</v>
      </c>
      <c r="B92" s="54">
        <v>5017</v>
      </c>
      <c r="C92" s="61" t="str">
        <f>IFERROR(VLOOKUP(B92,'Runner List'!$B$3:$O$505,5,FALSE),0)</f>
        <v>SIRILAX ROMPHONGERN</v>
      </c>
      <c r="D92" s="129" t="str">
        <f>IFERROR(VLOOKUP(B92,'Runner List'!$B$3:$O$505,6,FALSE),0)</f>
        <v>SIRILAX.R</v>
      </c>
      <c r="E92" s="8" t="str">
        <f>IFERROR(VLOOKUP(B92,'Runner List'!$B$3:$O$505,7,FALSE),0)</f>
        <v>Female</v>
      </c>
      <c r="F92" s="25" t="str">
        <f>IFERROR(VLOOKUP(B92,'Runner List'!$B$3:$O$505,8,FALSE),0)</f>
        <v>50-59</v>
      </c>
      <c r="G92" s="26" t="str">
        <f>IFERROR(VLOOKUP(B92,'Runner List'!$B$3:$O$505,9,FALSE),0)</f>
        <v>Thai</v>
      </c>
      <c r="H92" s="25" t="str">
        <f>IFERROR(VLOOKUP(B92,'Runner List'!$B$3:$O$505,10,FALSE),0)</f>
        <v>MKT50</v>
      </c>
      <c r="I92" s="24">
        <f ca="1">IFERROR(VLOOKUP(B92,'(2)Check In'!$B$4:$I$848,7,FALSE),0)</f>
        <v>45550.204121180555</v>
      </c>
      <c r="J92" s="24">
        <f>IFERROR(VLOOKUP(B92,'(2)Check In'!$B$4:$I$848,8,FALSE),0)</f>
        <v>0.20833333333333334</v>
      </c>
      <c r="K92" s="24">
        <f t="shared" ca="1" si="4"/>
        <v>45550.734000231481</v>
      </c>
      <c r="L92" s="127">
        <f t="shared" ca="1" si="3"/>
        <v>45550.525666898146</v>
      </c>
      <c r="M92" s="142">
        <f>COUNTIFS($H$3:H92,H92)</f>
        <v>23</v>
      </c>
      <c r="N92" s="142">
        <f>COUNTIFS(F$3:$F92,F92,H$3:$H92,H92,E$3:$E92,E92)</f>
        <v>2</v>
      </c>
      <c r="O92" s="142">
        <f>COUNTIFS($F$3:F92,F92,$H$3:H92,H92)</f>
        <v>5</v>
      </c>
    </row>
    <row r="93" spans="1:15" ht="36.6">
      <c r="A93" s="29">
        <v>90</v>
      </c>
      <c r="B93" s="55">
        <v>5018</v>
      </c>
      <c r="C93" s="61" t="str">
        <f>IFERROR(VLOOKUP(B93,'Runner List'!$B$3:$O$505,5,FALSE),0)</f>
        <v>MANOP MAEJIT</v>
      </c>
      <c r="D93" s="129" t="str">
        <f>IFERROR(VLOOKUP(B93,'Runner List'!$B$3:$O$505,6,FALSE),0)</f>
        <v>MANOP.M</v>
      </c>
      <c r="E93" s="8" t="str">
        <f>IFERROR(VLOOKUP(B93,'Runner List'!$B$3:$O$505,7,FALSE),0)</f>
        <v>Male</v>
      </c>
      <c r="F93" s="25" t="str">
        <f>IFERROR(VLOOKUP(B93,'Runner List'!$B$3:$O$505,8,FALSE),0)</f>
        <v>40-49</v>
      </c>
      <c r="G93" s="26" t="str">
        <f>IFERROR(VLOOKUP(B93,'Runner List'!$B$3:$O$505,9,FALSE),0)</f>
        <v>Thai</v>
      </c>
      <c r="H93" s="25" t="str">
        <f>IFERROR(VLOOKUP(B93,'Runner List'!$B$3:$O$505,10,FALSE),0)</f>
        <v>MKT50</v>
      </c>
      <c r="I93" s="24">
        <f ca="1">IFERROR(VLOOKUP(B93,'(2)Check In'!$B$4:$I$848,7,FALSE),0)</f>
        <v>45550.203924074071</v>
      </c>
      <c r="J93" s="24">
        <f>IFERROR(VLOOKUP(B93,'(2)Check In'!$B$4:$I$848,8,FALSE),0)</f>
        <v>0.20833333333333334</v>
      </c>
      <c r="K93" s="24">
        <f t="shared" ca="1" si="4"/>
        <v>45550.74085185185</v>
      </c>
      <c r="L93" s="127">
        <f t="shared" ca="1" si="3"/>
        <v>45550.532518518514</v>
      </c>
      <c r="M93" s="142">
        <f>COUNTIFS($H$3:H93,H93)</f>
        <v>24</v>
      </c>
      <c r="N93" s="142">
        <f>COUNTIFS(F$3:$F93,F93,H$3:$H93,H93,E$3:$E93,E93)</f>
        <v>11</v>
      </c>
      <c r="O93" s="142">
        <f>COUNTIFS($F$3:F93,F93,$H$3:H93,H93)</f>
        <v>13</v>
      </c>
    </row>
    <row r="94" spans="1:15" ht="36.6">
      <c r="A94" s="28">
        <v>91</v>
      </c>
      <c r="B94" s="54">
        <v>5034</v>
      </c>
      <c r="C94" s="61" t="str">
        <f>IFERROR(VLOOKUP(B94,'Runner List'!$B$3:$O$505,5,FALSE),0)</f>
        <v>JEERAPHAN NONTAKA</v>
      </c>
      <c r="D94" s="129" t="str">
        <f>IFERROR(VLOOKUP(B94,'Runner List'!$B$3:$O$505,6,FALSE),0)</f>
        <v>JEERAPHAN.N</v>
      </c>
      <c r="E94" s="8" t="str">
        <f>IFERROR(VLOOKUP(B94,'Runner List'!$B$3:$O$505,7,FALSE),0)</f>
        <v>Male</v>
      </c>
      <c r="F94" s="25" t="str">
        <f>IFERROR(VLOOKUP(B94,'Runner List'!$B$3:$O$505,8,FALSE),0)</f>
        <v>20-39</v>
      </c>
      <c r="G94" s="26" t="str">
        <f>IFERROR(VLOOKUP(B94,'Runner List'!$B$3:$O$505,9,FALSE),0)</f>
        <v>Thai</v>
      </c>
      <c r="H94" s="25" t="str">
        <f>IFERROR(VLOOKUP(B94,'Runner List'!$B$3:$O$505,10,FALSE),0)</f>
        <v>MKT50</v>
      </c>
      <c r="I94" s="24">
        <f ca="1">IFERROR(VLOOKUP(B94,'(2)Check In'!$B$4:$I$848,7,FALSE),0)</f>
        <v>45550.204201967594</v>
      </c>
      <c r="J94" s="24">
        <f>IFERROR(VLOOKUP(B94,'(2)Check In'!$B$4:$I$848,8,FALSE),0)</f>
        <v>0.20833333333333334</v>
      </c>
      <c r="K94" s="24">
        <f t="shared" ca="1" si="4"/>
        <v>45550.751896296293</v>
      </c>
      <c r="L94" s="127">
        <f t="shared" ca="1" si="3"/>
        <v>45550.543562962957</v>
      </c>
      <c r="M94" s="142">
        <f>COUNTIFS($H$3:H94,H94)</f>
        <v>25</v>
      </c>
      <c r="N94" s="142">
        <f>COUNTIFS(F$3:$F94,F94,H$3:$H94,H94,E$3:$E94,E94)</f>
        <v>3</v>
      </c>
      <c r="O94" s="142">
        <f>COUNTIFS($F$3:F94,F94,$H$3:H94,H94)</f>
        <v>3</v>
      </c>
    </row>
    <row r="95" spans="1:15" ht="36.6">
      <c r="A95" s="29">
        <v>92</v>
      </c>
      <c r="B95" s="55">
        <v>5036</v>
      </c>
      <c r="C95" s="61" t="str">
        <f>IFERROR(VLOOKUP(B95,'Runner List'!$B$3:$O$505,5,FALSE),0)</f>
        <v>THANAKIT PRAKAIPHISUT</v>
      </c>
      <c r="D95" s="129" t="str">
        <f>IFERROR(VLOOKUP(B95,'Runner List'!$B$3:$O$505,6,FALSE),0)</f>
        <v>THANAKIT.P</v>
      </c>
      <c r="E95" s="8" t="str">
        <f>IFERROR(VLOOKUP(B95,'Runner List'!$B$3:$O$505,7,FALSE),0)</f>
        <v>Male</v>
      </c>
      <c r="F95" s="25" t="str">
        <f>IFERROR(VLOOKUP(B95,'Runner List'!$B$3:$O$505,8,FALSE),0)</f>
        <v>40-49</v>
      </c>
      <c r="G95" s="26" t="str">
        <f>IFERROR(VLOOKUP(B95,'Runner List'!$B$3:$O$505,9,FALSE),0)</f>
        <v>Thai</v>
      </c>
      <c r="H95" s="25" t="str">
        <f>IFERROR(VLOOKUP(B95,'Runner List'!$B$3:$O$505,10,FALSE),0)</f>
        <v>MKT50</v>
      </c>
      <c r="I95" s="24">
        <f ca="1">IFERROR(VLOOKUP(B95,'(2)Check In'!$B$4:$I$848,7,FALSE),0)</f>
        <v>45550.205119444443</v>
      </c>
      <c r="J95" s="24">
        <f>IFERROR(VLOOKUP(B95,'(2)Check In'!$B$4:$I$848,8,FALSE),0)</f>
        <v>0.20833333333333334</v>
      </c>
      <c r="K95" s="24">
        <f t="shared" ca="1" si="4"/>
        <v>45550.751907060185</v>
      </c>
      <c r="L95" s="127">
        <f t="shared" ca="1" si="3"/>
        <v>45550.543573726849</v>
      </c>
      <c r="M95" s="142">
        <f>COUNTIFS($H$3:H95,H95)</f>
        <v>26</v>
      </c>
      <c r="N95" s="142">
        <f>COUNTIFS(F$3:$F95,F95,H$3:$H95,H95,E$3:$E95,E95)</f>
        <v>12</v>
      </c>
      <c r="O95" s="142">
        <f>COUNTIFS($F$3:F95,F95,$H$3:H95,H95)</f>
        <v>14</v>
      </c>
    </row>
    <row r="96" spans="1:15" ht="36.6">
      <c r="A96" s="28">
        <v>93</v>
      </c>
      <c r="B96" s="54">
        <v>5048</v>
      </c>
      <c r="C96" s="61" t="str">
        <f>IFERROR(VLOOKUP(B96,'Runner List'!$B$3:$O$505,5,FALSE),0)</f>
        <v>SONGWUT BOAKHEM</v>
      </c>
      <c r="D96" s="129" t="str">
        <f>IFERROR(VLOOKUP(B96,'Runner List'!$B$3:$O$505,6,FALSE),0)</f>
        <v>SONGWUD BOAKHEM</v>
      </c>
      <c r="E96" s="8" t="str">
        <f>IFERROR(VLOOKUP(B96,'Runner List'!$B$3:$O$505,7,FALSE),0)</f>
        <v>Male</v>
      </c>
      <c r="F96" s="25" t="str">
        <f>IFERROR(VLOOKUP(B96,'Runner List'!$B$3:$O$505,8,FALSE),0)</f>
        <v>60 Plus</v>
      </c>
      <c r="G96" s="26" t="str">
        <f>IFERROR(VLOOKUP(B96,'Runner List'!$B$3:$O$505,9,FALSE),0)</f>
        <v>Thai</v>
      </c>
      <c r="H96" s="25" t="str">
        <f>IFERROR(VLOOKUP(B96,'Runner List'!$B$3:$O$505,10,FALSE),0)</f>
        <v>MKT50</v>
      </c>
      <c r="I96" s="24">
        <f ca="1">IFERROR(VLOOKUP(B96,'(2)Check In'!$B$4:$I$848,7,FALSE),0)</f>
        <v>45550.204343171295</v>
      </c>
      <c r="J96" s="24">
        <f>IFERROR(VLOOKUP(B96,'(2)Check In'!$B$4:$I$848,8,FALSE),0)</f>
        <v>0.20833333333333334</v>
      </c>
      <c r="K96" s="24">
        <f t="shared" ca="1" si="4"/>
        <v>45550.752823379633</v>
      </c>
      <c r="L96" s="127">
        <f t="shared" ca="1" si="3"/>
        <v>45550.544490046297</v>
      </c>
      <c r="M96" s="142">
        <f>COUNTIFS($H$3:H96,H96)</f>
        <v>27</v>
      </c>
      <c r="N96" s="142">
        <f>COUNTIFS(F$3:$F96,F96,H$3:$H96,H96,E$3:$E96,E96)</f>
        <v>3</v>
      </c>
      <c r="O96" s="142">
        <f>COUNTIFS($F$3:F96,F96,$H$3:H96,H96)</f>
        <v>4</v>
      </c>
    </row>
    <row r="97" spans="1:15" ht="36.6" customHeight="1">
      <c r="A97" s="29">
        <v>94</v>
      </c>
      <c r="B97" s="54">
        <v>5037</v>
      </c>
      <c r="C97" s="61" t="str">
        <f>IFERROR(VLOOKUP(B97,'Runner List'!$B$3:$O$505,5,FALSE),0)</f>
        <v>JITRA TOIM</v>
      </c>
      <c r="D97" s="129" t="str">
        <f>IFERROR(VLOOKUP(B97,'Runner List'!$B$3:$O$505,6,FALSE),0)</f>
        <v>JITRA.T</v>
      </c>
      <c r="E97" s="8" t="str">
        <f>IFERROR(VLOOKUP(B97,'Runner List'!$B$3:$O$505,7,FALSE),0)</f>
        <v>Female</v>
      </c>
      <c r="F97" s="25" t="str">
        <f>IFERROR(VLOOKUP(B97,'Runner List'!$B$3:$O$505,8,FALSE),0)</f>
        <v>40-49</v>
      </c>
      <c r="G97" s="26" t="str">
        <f>IFERROR(VLOOKUP(B97,'Runner List'!$B$3:$O$505,9,FALSE),0)</f>
        <v>Thai</v>
      </c>
      <c r="H97" s="25" t="str">
        <f>IFERROR(VLOOKUP(B97,'Runner List'!$B$3:$O$505,10,FALSE),0)</f>
        <v>MKT50</v>
      </c>
      <c r="I97" s="24">
        <f ca="1">IFERROR(VLOOKUP(B97,'(2)Check In'!$B$4:$I$848,7,FALSE),0)</f>
        <v>45550.204587962966</v>
      </c>
      <c r="J97" s="24">
        <f>IFERROR(VLOOKUP(B97,'(2)Check In'!$B$4:$I$848,8,FALSE),0)</f>
        <v>0.20833333333333334</v>
      </c>
      <c r="K97" s="24">
        <f t="shared" ca="1" si="4"/>
        <v>45550.752917939812</v>
      </c>
      <c r="L97" s="127">
        <f t="shared" ca="1" si="3"/>
        <v>45550.544584606476</v>
      </c>
      <c r="M97" s="142">
        <f>COUNTIFS($H$3:H97,H97)</f>
        <v>28</v>
      </c>
      <c r="N97" s="142">
        <f>COUNTIFS(F$3:$F97,F97,H$3:$H97,H97,E$3:$E97,E97)</f>
        <v>3</v>
      </c>
      <c r="O97" s="142">
        <f>COUNTIFS($F$3:F97,F97,$H$3:H97,H97)</f>
        <v>15</v>
      </c>
    </row>
    <row r="98" spans="1:15" ht="36.6" customHeight="1">
      <c r="A98" s="28">
        <v>95</v>
      </c>
      <c r="B98" s="54">
        <v>5022</v>
      </c>
      <c r="C98" s="61" t="str">
        <f>IFERROR(VLOOKUP(B98,'Runner List'!$B$3:$O$505,5,FALSE),0)</f>
        <v>WEERAWAT SHATAREEYAKUL</v>
      </c>
      <c r="D98" s="129" t="str">
        <f>IFERROR(VLOOKUP(B98,'Runner List'!$B$3:$O$505,6,FALSE),0)</f>
        <v>WEERAWAT.S</v>
      </c>
      <c r="E98" s="8" t="str">
        <f>IFERROR(VLOOKUP(B98,'Runner List'!$B$3:$O$505,7,FALSE),0)</f>
        <v>Male</v>
      </c>
      <c r="F98" s="25" t="str">
        <f>IFERROR(VLOOKUP(B98,'Runner List'!$B$3:$O$505,8,FALSE),0)</f>
        <v>40-49</v>
      </c>
      <c r="G98" s="26" t="str">
        <f>IFERROR(VLOOKUP(B98,'Runner List'!$B$3:$O$505,9,FALSE),0)</f>
        <v>Thai</v>
      </c>
      <c r="H98" s="25" t="str">
        <f>IFERROR(VLOOKUP(B98,'Runner List'!$B$3:$O$505,10,FALSE),0)</f>
        <v>MKT50</v>
      </c>
      <c r="I98" s="24">
        <f ca="1">IFERROR(VLOOKUP(B98,'(2)Check In'!$B$4:$I$848,7,FALSE),0)</f>
        <v>45550.204693981483</v>
      </c>
      <c r="J98" s="24">
        <f>IFERROR(VLOOKUP(B98,'(2)Check In'!$B$4:$I$848,8,FALSE),0)</f>
        <v>0.20833333333333334</v>
      </c>
      <c r="K98" s="24">
        <f t="shared" ca="1" si="4"/>
        <v>45550.753392361112</v>
      </c>
      <c r="L98" s="127">
        <f t="shared" ca="1" si="3"/>
        <v>45550.545059027776</v>
      </c>
      <c r="M98" s="142">
        <f>COUNTIFS($H$3:H98,H98)</f>
        <v>29</v>
      </c>
      <c r="N98" s="142">
        <f>COUNTIFS(F$3:$F98,F98,H$3:$H98,H98,E$3:$E98,E98)</f>
        <v>13</v>
      </c>
      <c r="O98" s="142">
        <f>COUNTIFS($F$3:F98,F98,$H$3:H98,H98)</f>
        <v>16</v>
      </c>
    </row>
    <row r="99" spans="1:15" ht="36.6" customHeight="1">
      <c r="A99" s="29">
        <v>96</v>
      </c>
      <c r="B99" s="54">
        <v>5044</v>
      </c>
      <c r="C99" s="61" t="str">
        <f>IFERROR(VLOOKUP(B99,'Runner List'!$B$3:$O$505,5,FALSE),0)</f>
        <v>PHONGSATHON JEESOM</v>
      </c>
      <c r="D99" s="129" t="str">
        <f>IFERROR(VLOOKUP(B99,'Runner List'!$B$3:$O$505,6,FALSE),0)</f>
        <v>PHONGSATHON.J</v>
      </c>
      <c r="E99" s="8" t="str">
        <f>IFERROR(VLOOKUP(B99,'Runner List'!$B$3:$O$505,7,FALSE),0)</f>
        <v>Male</v>
      </c>
      <c r="F99" s="25" t="str">
        <f>IFERROR(VLOOKUP(B99,'Runner List'!$B$3:$O$505,8,FALSE),0)</f>
        <v>40-49</v>
      </c>
      <c r="G99" s="26" t="str">
        <f>IFERROR(VLOOKUP(B99,'Runner List'!$B$3:$O$505,9,FALSE),0)</f>
        <v>Thai</v>
      </c>
      <c r="H99" s="25" t="str">
        <f>IFERROR(VLOOKUP(B99,'Runner List'!$B$3:$O$505,10,FALSE),0)</f>
        <v>MKT50</v>
      </c>
      <c r="I99" s="24">
        <f ca="1">IFERROR(VLOOKUP(B99,'(2)Check In'!$B$4:$I$848,7,FALSE),0)</f>
        <v>45550.204431712962</v>
      </c>
      <c r="J99" s="24">
        <f>IFERROR(VLOOKUP(B99,'(2)Check In'!$B$4:$I$848,8,FALSE),0)</f>
        <v>0.20833333333333334</v>
      </c>
      <c r="K99" s="24">
        <f t="shared" ca="1" si="4"/>
        <v>45550.797615856478</v>
      </c>
      <c r="L99" s="127">
        <f t="shared" ca="1" si="3"/>
        <v>45550.589282523142</v>
      </c>
      <c r="M99" s="142">
        <f>COUNTIFS($H$3:H99,H99)</f>
        <v>30</v>
      </c>
      <c r="N99" s="142">
        <f>COUNTIFS(F$3:$F99,F99,H$3:$H99,H99,E$3:$E99,E99)</f>
        <v>14</v>
      </c>
      <c r="O99" s="142">
        <f>COUNTIFS($F$3:F99,F99,$H$3:H99,H99)</f>
        <v>17</v>
      </c>
    </row>
    <row r="100" spans="1:15" ht="36.6" customHeight="1">
      <c r="A100" s="28">
        <v>97</v>
      </c>
      <c r="B100" s="54">
        <v>5025</v>
      </c>
      <c r="C100" s="61" t="str">
        <f>IFERROR(VLOOKUP(B100,'Runner List'!$B$3:$O$505,5,FALSE),0)</f>
        <v>NOTTHAKIT KASEE</v>
      </c>
      <c r="D100" s="129" t="str">
        <f>IFERROR(VLOOKUP(B100,'Runner List'!$B$3:$O$505,6,FALSE),0)</f>
        <v>NOTTHAKIT.K</v>
      </c>
      <c r="E100" s="8" t="str">
        <f>IFERROR(VLOOKUP(B100,'Runner List'!$B$3:$O$505,7,FALSE),0)</f>
        <v>Male</v>
      </c>
      <c r="F100" s="25" t="str">
        <f>IFERROR(VLOOKUP(B100,'Runner List'!$B$3:$O$505,8,FALSE),0)</f>
        <v>50-59</v>
      </c>
      <c r="G100" s="26" t="str">
        <f>IFERROR(VLOOKUP(B100,'Runner List'!$B$3:$O$505,9,FALSE),0)</f>
        <v>Thai</v>
      </c>
      <c r="H100" s="25" t="str">
        <f>IFERROR(VLOOKUP(B100,'Runner List'!$B$3:$O$505,10,FALSE),0)</f>
        <v>MKT50</v>
      </c>
      <c r="I100" s="24">
        <f ca="1">IFERROR(VLOOKUP(B100,'(2)Check In'!$B$4:$I$848,7,FALSE),0)</f>
        <v>45550.204801157408</v>
      </c>
      <c r="J100" s="24">
        <f>IFERROR(VLOOKUP(B100,'(2)Check In'!$B$4:$I$848,8,FALSE),0)</f>
        <v>0.20833333333333334</v>
      </c>
      <c r="K100" s="24">
        <f t="shared" ca="1" si="4"/>
        <v>45550.807708449072</v>
      </c>
      <c r="L100" s="127">
        <f t="shared" ca="1" si="3"/>
        <v>45550.599375115737</v>
      </c>
      <c r="M100" s="142">
        <f>COUNTIFS($H$3:H100,H100)</f>
        <v>31</v>
      </c>
      <c r="N100" s="142">
        <f>COUNTIFS(F$3:$F100,F100,H$3:$H100,H100,E$3:$E100,E100)</f>
        <v>4</v>
      </c>
      <c r="O100" s="142">
        <f>COUNTIFS($F$3:F100,F100,$H$3:H100,H100)</f>
        <v>6</v>
      </c>
    </row>
    <row r="101" spans="1:15" ht="36.6" customHeight="1">
      <c r="A101" s="29">
        <v>98</v>
      </c>
      <c r="B101" s="54">
        <v>5026</v>
      </c>
      <c r="C101" s="61" t="str">
        <f>IFERROR(VLOOKUP(B101,'Runner List'!$B$3:$O$505,5,FALSE),0)</f>
        <v>MALILA KOSURA</v>
      </c>
      <c r="D101" s="129" t="str">
        <f>IFERROR(VLOOKUP(B101,'Runner List'!$B$3:$O$505,6,FALSE),0)</f>
        <v>MALILA.K</v>
      </c>
      <c r="E101" s="8" t="str">
        <f>IFERROR(VLOOKUP(B101,'Runner List'!$B$3:$O$505,7,FALSE),0)</f>
        <v>Female</v>
      </c>
      <c r="F101" s="25" t="str">
        <f>IFERROR(VLOOKUP(B101,'Runner List'!$B$3:$O$505,8,FALSE),0)</f>
        <v>50-59</v>
      </c>
      <c r="G101" s="26" t="str">
        <f>IFERROR(VLOOKUP(B101,'Runner List'!$B$3:$O$505,9,FALSE),0)</f>
        <v>Thai</v>
      </c>
      <c r="H101" s="25" t="str">
        <f>IFERROR(VLOOKUP(B101,'Runner List'!$B$3:$O$505,10,FALSE),0)</f>
        <v>MKT50</v>
      </c>
      <c r="I101" s="24">
        <f ca="1">IFERROR(VLOOKUP(B101,'(2)Check In'!$B$4:$I$848,7,FALSE),0)</f>
        <v>45550.203809606479</v>
      </c>
      <c r="J101" s="24">
        <f>IFERROR(VLOOKUP(B101,'(2)Check In'!$B$4:$I$848,8,FALSE),0)</f>
        <v>0.20833333333333334</v>
      </c>
      <c r="K101" s="24">
        <f t="shared" ca="1" si="4"/>
        <v>45550.814311226852</v>
      </c>
      <c r="L101" s="127">
        <f t="shared" ca="1" si="3"/>
        <v>45550.605977893516</v>
      </c>
      <c r="M101" s="142">
        <f>COUNTIFS($H$3:H101,H101)</f>
        <v>32</v>
      </c>
      <c r="N101" s="142">
        <f>COUNTIFS(F$3:$F101,F101,H$3:$H101,H101,E$3:$E101,E101)</f>
        <v>3</v>
      </c>
      <c r="O101" s="142">
        <f>COUNTIFS($F$3:F101,F101,$H$3:H101,H101)</f>
        <v>7</v>
      </c>
    </row>
    <row r="102" spans="1:15" ht="36.6" customHeight="1">
      <c r="A102" s="28">
        <v>99</v>
      </c>
      <c r="B102" s="54">
        <v>5035</v>
      </c>
      <c r="C102" s="61" t="str">
        <f>IFERROR(VLOOKUP(B102,'Runner List'!$B$3:$O$505,5,FALSE),0)</f>
        <v>PEERAPON BOONSRISOD</v>
      </c>
      <c r="D102" s="129" t="str">
        <f>IFERROR(VLOOKUP(B102,'Runner List'!$B$3:$O$505,6,FALSE),0)</f>
        <v>PEERAPON.B</v>
      </c>
      <c r="E102" s="8" t="str">
        <f>IFERROR(VLOOKUP(B102,'Runner List'!$B$3:$O$505,7,FALSE),0)</f>
        <v>Male</v>
      </c>
      <c r="F102" s="25" t="str">
        <f>IFERROR(VLOOKUP(B102,'Runner List'!$B$3:$O$505,8,FALSE),0)</f>
        <v>50-59</v>
      </c>
      <c r="G102" s="26" t="str">
        <f>IFERROR(VLOOKUP(B102,'Runner List'!$B$3:$O$505,9,FALSE),0)</f>
        <v>Thai</v>
      </c>
      <c r="H102" s="25" t="str">
        <f>IFERROR(VLOOKUP(B102,'Runner List'!$B$3:$O$505,10,FALSE),0)</f>
        <v>MKT50</v>
      </c>
      <c r="I102" s="24">
        <f ca="1">IFERROR(VLOOKUP(B102,'(2)Check In'!$B$4:$I$848,7,FALSE),0)</f>
        <v>45550.204765856484</v>
      </c>
      <c r="J102" s="24">
        <f>IFERROR(VLOOKUP(B102,'(2)Check In'!$B$4:$I$848,8,FALSE),0)</f>
        <v>0.20833333333333334</v>
      </c>
      <c r="K102" s="24">
        <f t="shared" ca="1" si="4"/>
        <v>45550.818341550927</v>
      </c>
      <c r="L102" s="127">
        <f t="shared" ca="1" si="3"/>
        <v>45550.610008217591</v>
      </c>
      <c r="M102" s="142">
        <f>COUNTIFS($H$3:H102,H102)</f>
        <v>33</v>
      </c>
      <c r="N102" s="142">
        <f>COUNTIFS(F$3:$F102,F102,H$3:$H102,H102,E$3:$E102,E102)</f>
        <v>5</v>
      </c>
      <c r="O102" s="142">
        <f>COUNTIFS($F$3:F102,F102,$H$3:H102,H102)</f>
        <v>8</v>
      </c>
    </row>
    <row r="103" spans="1:15" ht="36.6" customHeight="1">
      <c r="A103" s="29">
        <v>100</v>
      </c>
      <c r="B103" s="54">
        <v>5015</v>
      </c>
      <c r="C103" s="61" t="str">
        <f>IFERROR(VLOOKUP(B103,'Runner List'!$B$3:$O$505,5,FALSE),0)</f>
        <v>JIAMJIT TANOMSAB</v>
      </c>
      <c r="D103" s="129" t="str">
        <f>IFERROR(VLOOKUP(B103,'Runner List'!$B$3:$O$505,6,FALSE),0)</f>
        <v>JIAMJIT.T</v>
      </c>
      <c r="E103" s="8" t="str">
        <f>IFERROR(VLOOKUP(B103,'Runner List'!$B$3:$O$505,7,FALSE),0)</f>
        <v>Female</v>
      </c>
      <c r="F103" s="25" t="str">
        <f>IFERROR(VLOOKUP(B103,'Runner List'!$B$3:$O$505,8,FALSE),0)</f>
        <v>50-59</v>
      </c>
      <c r="G103" s="26" t="str">
        <f>IFERROR(VLOOKUP(B103,'Runner List'!$B$3:$O$505,9,FALSE),0)</f>
        <v>Thai</v>
      </c>
      <c r="H103" s="25" t="str">
        <f>IFERROR(VLOOKUP(B103,'Runner List'!$B$3:$O$505,10,FALSE),0)</f>
        <v>MKT50</v>
      </c>
      <c r="I103" s="24">
        <f ca="1">IFERROR(VLOOKUP(B103,'(2)Check In'!$B$4:$I$848,7,FALSE),0)</f>
        <v>45550.204047685183</v>
      </c>
      <c r="J103" s="24">
        <f>IFERROR(VLOOKUP(B103,'(2)Check In'!$B$4:$I$848,8,FALSE),0)</f>
        <v>0.20833333333333334</v>
      </c>
      <c r="K103" s="24">
        <f t="shared" ca="1" si="4"/>
        <v>45550.830149884256</v>
      </c>
      <c r="L103" s="127">
        <f t="shared" ca="1" si="3"/>
        <v>45550.62181655092</v>
      </c>
      <c r="M103" s="142">
        <f>COUNTIFS($H$3:H103,H103)</f>
        <v>34</v>
      </c>
      <c r="N103" s="142">
        <f>COUNTIFS(F$3:$F103,F103,H$3:$H103,H103,E$3:$E103,E103)</f>
        <v>4</v>
      </c>
      <c r="O103" s="142">
        <f>COUNTIFS($F$3:F103,F103,$H$3:H103,H103)</f>
        <v>9</v>
      </c>
    </row>
    <row r="104" spans="1:15" ht="36.6" customHeight="1">
      <c r="A104" s="28">
        <v>101</v>
      </c>
      <c r="B104" s="54"/>
      <c r="C104" s="61">
        <f>IFERROR(VLOOKUP(B104,'Runner List'!$B$3:$O$505,5,FALSE),0)</f>
        <v>0</v>
      </c>
      <c r="D104" s="129">
        <f>IFERROR(VLOOKUP(B104,'Runner List'!$B$3:$O$505,6,FALSE),0)</f>
        <v>0</v>
      </c>
      <c r="E104" s="8">
        <f>IFERROR(VLOOKUP(B104,'Runner List'!$B$3:$O$505,7,FALSE),0)</f>
        <v>0</v>
      </c>
      <c r="F104" s="25">
        <f>IFERROR(VLOOKUP(B104,'Runner List'!$B$3:$O$505,8,FALSE),0)</f>
        <v>0</v>
      </c>
      <c r="G104" s="26">
        <f>IFERROR(VLOOKUP(B104,'Runner List'!$B$3:$O$505,9,FALSE),0)</f>
        <v>0</v>
      </c>
      <c r="H104" s="25">
        <f>IFERROR(VLOOKUP(B104,'Runner List'!$B$3:$O$505,10,FALSE),0)</f>
        <v>0</v>
      </c>
      <c r="I104" s="24">
        <f>IFERROR(VLOOKUP(B104,'(2)Check In'!$B$4:$I$848,7,FALSE),0)</f>
        <v>0</v>
      </c>
      <c r="J104" s="24">
        <f>IFERROR(VLOOKUP(B104,'(2)Check In'!$B$4:$I$848,8,FALSE),0)</f>
        <v>0</v>
      </c>
      <c r="K104" s="24" t="str">
        <f t="shared" ca="1" si="4"/>
        <v/>
      </c>
      <c r="L104" s="127" t="e">
        <f t="shared" ca="1" si="3"/>
        <v>#VALUE!</v>
      </c>
      <c r="M104" s="142">
        <f>COUNTIFS($H$3:H104,H104)</f>
        <v>1</v>
      </c>
      <c r="N104" s="142">
        <f>COUNTIFS(F$3:$F104,F104,H$3:$H104,H104,E$3:$E104,E104)</f>
        <v>1</v>
      </c>
      <c r="O104" s="142">
        <f>COUNTIFS($F$3:F104,F104,$H$3:H104,H104)</f>
        <v>1</v>
      </c>
    </row>
    <row r="105" spans="1:15" ht="36.6" customHeight="1">
      <c r="A105" s="29">
        <v>102</v>
      </c>
      <c r="B105" s="54"/>
      <c r="C105" s="61">
        <f>IFERROR(VLOOKUP(B105,'Runner List'!$B$3:$O$505,5,FALSE),0)</f>
        <v>0</v>
      </c>
      <c r="D105" s="129">
        <f>IFERROR(VLOOKUP(B105,'Runner List'!$B$3:$O$505,6,FALSE),0)</f>
        <v>0</v>
      </c>
      <c r="E105" s="8">
        <f>IFERROR(VLOOKUP(B105,'Runner List'!$B$3:$O$505,7,FALSE),0)</f>
        <v>0</v>
      </c>
      <c r="F105" s="25">
        <f>IFERROR(VLOOKUP(B105,'Runner List'!$B$3:$O$505,8,FALSE),0)</f>
        <v>0</v>
      </c>
      <c r="G105" s="26">
        <f>IFERROR(VLOOKUP(B105,'Runner List'!$B$3:$O$505,9,FALSE),0)</f>
        <v>0</v>
      </c>
      <c r="H105" s="25">
        <f>IFERROR(VLOOKUP(B105,'Runner List'!$B$3:$O$505,10,FALSE),0)</f>
        <v>0</v>
      </c>
      <c r="I105" s="24">
        <f>IFERROR(VLOOKUP(B105,'(2)Check In'!$B$4:$I$848,7,FALSE),0)</f>
        <v>0</v>
      </c>
      <c r="J105" s="24">
        <f>IFERROR(VLOOKUP(B105,'(2)Check In'!$B$4:$I$848,8,FALSE),0)</f>
        <v>0</v>
      </c>
      <c r="K105" s="24" t="str">
        <f t="shared" ca="1" si="4"/>
        <v/>
      </c>
      <c r="L105" s="127" t="e">
        <f t="shared" ca="1" si="3"/>
        <v>#VALUE!</v>
      </c>
      <c r="M105" s="142">
        <f>COUNTIFS($H$3:H105,H105)</f>
        <v>2</v>
      </c>
      <c r="N105" s="142">
        <f>COUNTIFS(F$3:$F105,F105,H$3:$H105,H105,E$3:$E105,E105)</f>
        <v>2</v>
      </c>
      <c r="O105" s="142">
        <f>COUNTIFS($F$3:F105,F105,$H$3:H105,H105)</f>
        <v>2</v>
      </c>
    </row>
    <row r="106" spans="1:15" ht="36.6" customHeight="1">
      <c r="A106" s="28">
        <v>103</v>
      </c>
      <c r="B106" s="54"/>
      <c r="C106" s="61">
        <f>IFERROR(VLOOKUP(B106,'Runner List'!$B$3:$O$505,5,FALSE),0)</f>
        <v>0</v>
      </c>
      <c r="D106" s="129">
        <f>IFERROR(VLOOKUP(B106,'Runner List'!$B$3:$O$505,6,FALSE),0)</f>
        <v>0</v>
      </c>
      <c r="E106" s="8">
        <f>IFERROR(VLOOKUP(B106,'Runner List'!$B$3:$O$505,7,FALSE),0)</f>
        <v>0</v>
      </c>
      <c r="F106" s="25">
        <f>IFERROR(VLOOKUP(B106,'Runner List'!$B$3:$O$505,8,FALSE),0)</f>
        <v>0</v>
      </c>
      <c r="G106" s="26">
        <f>IFERROR(VLOOKUP(B106,'Runner List'!$B$3:$O$505,9,FALSE),0)</f>
        <v>0</v>
      </c>
      <c r="H106" s="25">
        <f>IFERROR(VLOOKUP(B106,'Runner List'!$B$3:$O$505,10,FALSE),0)</f>
        <v>0</v>
      </c>
      <c r="I106" s="24">
        <f>IFERROR(VLOOKUP(B106,'(2)Check In'!$B$4:$I$848,7,FALSE),0)</f>
        <v>0</v>
      </c>
      <c r="J106" s="24">
        <f>IFERROR(VLOOKUP(B106,'(2)Check In'!$B$4:$I$848,8,FALSE),0)</f>
        <v>0</v>
      </c>
      <c r="K106" s="24" t="str">
        <f t="shared" ca="1" si="4"/>
        <v/>
      </c>
      <c r="L106" s="127" t="e">
        <f t="shared" ca="1" si="3"/>
        <v>#VALUE!</v>
      </c>
      <c r="M106" s="142">
        <f>COUNTIFS($H$3:H106,H106)</f>
        <v>3</v>
      </c>
      <c r="N106" s="142">
        <f>COUNTIFS(F$3:$F106,F106,H$3:$H106,H106,E$3:$E106,E106)</f>
        <v>3</v>
      </c>
      <c r="O106" s="142">
        <f>COUNTIFS($F$3:F106,F106,$H$3:H106,H106)</f>
        <v>3</v>
      </c>
    </row>
    <row r="107" spans="1:15" ht="36.6" customHeight="1">
      <c r="A107" s="29">
        <v>104</v>
      </c>
      <c r="B107" s="54"/>
      <c r="C107" s="61">
        <f>IFERROR(VLOOKUP(B107,'Runner List'!$B$3:$O$505,5,FALSE),0)</f>
        <v>0</v>
      </c>
      <c r="D107" s="129">
        <f>IFERROR(VLOOKUP(B107,'Runner List'!$B$3:$O$505,6,FALSE),0)</f>
        <v>0</v>
      </c>
      <c r="E107" s="8">
        <f>IFERROR(VLOOKUP(B107,'Runner List'!$B$3:$O$505,7,FALSE),0)</f>
        <v>0</v>
      </c>
      <c r="F107" s="25">
        <f>IFERROR(VLOOKUP(B107,'Runner List'!$B$3:$O$505,8,FALSE),0)</f>
        <v>0</v>
      </c>
      <c r="G107" s="26">
        <f>IFERROR(VLOOKUP(B107,'Runner List'!$B$3:$O$505,9,FALSE),0)</f>
        <v>0</v>
      </c>
      <c r="H107" s="25">
        <f>IFERROR(VLOOKUP(B107,'Runner List'!$B$3:$O$505,10,FALSE),0)</f>
        <v>0</v>
      </c>
      <c r="I107" s="24">
        <f>IFERROR(VLOOKUP(B107,'(2)Check In'!$B$4:$I$848,7,FALSE),0)</f>
        <v>0</v>
      </c>
      <c r="J107" s="24">
        <f>IFERROR(VLOOKUP(B107,'(2)Check In'!$B$4:$I$848,8,FALSE),0)</f>
        <v>0</v>
      </c>
      <c r="K107" s="24" t="str">
        <f t="shared" ca="1" si="4"/>
        <v/>
      </c>
      <c r="L107" s="127" t="e">
        <f t="shared" ca="1" si="3"/>
        <v>#VALUE!</v>
      </c>
      <c r="M107" s="142">
        <f>COUNTIFS($H$3:H107,H107)</f>
        <v>4</v>
      </c>
      <c r="N107" s="142">
        <f>COUNTIFS(F$3:$F107,F107,H$3:$H107,H107,E$3:$E107,E107)</f>
        <v>4</v>
      </c>
      <c r="O107" s="142">
        <f>COUNTIFS($F$3:F107,F107,$H$3:H107,H107)</f>
        <v>4</v>
      </c>
    </row>
    <row r="108" spans="1:15" ht="36.6" customHeight="1">
      <c r="A108" s="28">
        <v>105</v>
      </c>
      <c r="B108" s="54"/>
      <c r="C108" s="61">
        <f>IFERROR(VLOOKUP(B108,'Runner List'!$B$3:$O$505,5,FALSE),0)</f>
        <v>0</v>
      </c>
      <c r="D108" s="129">
        <f>IFERROR(VLOOKUP(B108,'Runner List'!$B$3:$O$505,6,FALSE),0)</f>
        <v>0</v>
      </c>
      <c r="E108" s="8">
        <f>IFERROR(VLOOKUP(B108,'Runner List'!$B$3:$O$505,7,FALSE),0)</f>
        <v>0</v>
      </c>
      <c r="F108" s="25">
        <f>IFERROR(VLOOKUP(B108,'Runner List'!$B$3:$O$505,8,FALSE),0)</f>
        <v>0</v>
      </c>
      <c r="G108" s="26">
        <f>IFERROR(VLOOKUP(B108,'Runner List'!$B$3:$O$505,9,FALSE),0)</f>
        <v>0</v>
      </c>
      <c r="H108" s="25">
        <f>IFERROR(VLOOKUP(B108,'Runner List'!$B$3:$O$505,10,FALSE),0)</f>
        <v>0</v>
      </c>
      <c r="I108" s="24">
        <f>IFERROR(VLOOKUP(B108,'(2)Check In'!$B$4:$I$848,7,FALSE),0)</f>
        <v>0</v>
      </c>
      <c r="J108" s="24">
        <f>IFERROR(VLOOKUP(B108,'(2)Check In'!$B$4:$I$848,8,FALSE),0)</f>
        <v>0</v>
      </c>
      <c r="K108" s="24" t="str">
        <f t="shared" ca="1" si="4"/>
        <v/>
      </c>
      <c r="L108" s="127" t="e">
        <f t="shared" ca="1" si="3"/>
        <v>#VALUE!</v>
      </c>
      <c r="M108" s="142">
        <f>COUNTIFS($H$3:H108,H108)</f>
        <v>5</v>
      </c>
      <c r="N108" s="142">
        <f>COUNTIFS(F$3:$F108,F108,H$3:$H108,H108,E$3:$E108,E108)</f>
        <v>5</v>
      </c>
      <c r="O108" s="142">
        <f>COUNTIFS($F$3:F108,F108,$H$3:H108,H108)</f>
        <v>5</v>
      </c>
    </row>
    <row r="109" spans="1:15" ht="36.6" customHeight="1">
      <c r="A109" s="29">
        <v>106</v>
      </c>
      <c r="B109" s="54"/>
      <c r="C109" s="61">
        <f>IFERROR(VLOOKUP(B109,'Runner List'!$B$3:$O$505,5,FALSE),0)</f>
        <v>0</v>
      </c>
      <c r="D109" s="129">
        <f>IFERROR(VLOOKUP(B109,'Runner List'!$B$3:$O$505,6,FALSE),0)</f>
        <v>0</v>
      </c>
      <c r="E109" s="8">
        <f>IFERROR(VLOOKUP(B109,'Runner List'!$B$3:$O$505,7,FALSE),0)</f>
        <v>0</v>
      </c>
      <c r="F109" s="25">
        <f>IFERROR(VLOOKUP(B109,'Runner List'!$B$3:$O$505,8,FALSE),0)</f>
        <v>0</v>
      </c>
      <c r="G109" s="26">
        <f>IFERROR(VLOOKUP(B109,'Runner List'!$B$3:$O$505,9,FALSE),0)</f>
        <v>0</v>
      </c>
      <c r="H109" s="25">
        <f>IFERROR(VLOOKUP(B109,'Runner List'!$B$3:$O$505,10,FALSE),0)</f>
        <v>0</v>
      </c>
      <c r="I109" s="24">
        <f>IFERROR(VLOOKUP(B109,'(2)Check In'!$B$4:$I$848,7,FALSE),0)</f>
        <v>0</v>
      </c>
      <c r="J109" s="24">
        <f>IFERROR(VLOOKUP(B109,'(2)Check In'!$B$4:$I$848,8,FALSE),0)</f>
        <v>0</v>
      </c>
      <c r="K109" s="24" t="str">
        <f t="shared" ca="1" si="4"/>
        <v/>
      </c>
      <c r="L109" s="127" t="e">
        <f t="shared" ca="1" si="3"/>
        <v>#VALUE!</v>
      </c>
      <c r="M109" s="142">
        <f>COUNTIFS($H$3:H109,H109)</f>
        <v>6</v>
      </c>
      <c r="N109" s="142">
        <f>COUNTIFS(F$3:$F109,F109,H$3:$H109,H109,E$3:$E109,E109)</f>
        <v>6</v>
      </c>
      <c r="O109" s="142">
        <f>COUNTIFS($F$3:F109,F109,$H$3:H109,H109)</f>
        <v>6</v>
      </c>
    </row>
    <row r="110" spans="1:15" ht="36.6" customHeight="1">
      <c r="A110" s="28">
        <v>107</v>
      </c>
      <c r="B110" s="54"/>
      <c r="C110" s="61">
        <f>IFERROR(VLOOKUP(B110,'Runner List'!$B$3:$O$505,5,FALSE),0)</f>
        <v>0</v>
      </c>
      <c r="D110" s="129">
        <f>IFERROR(VLOOKUP(B110,'Runner List'!$B$3:$O$505,6,FALSE),0)</f>
        <v>0</v>
      </c>
      <c r="E110" s="8">
        <f>IFERROR(VLOOKUP(B110,'Runner List'!$B$3:$O$505,7,FALSE),0)</f>
        <v>0</v>
      </c>
      <c r="F110" s="25">
        <f>IFERROR(VLOOKUP(B110,'Runner List'!$B$3:$O$505,8,FALSE),0)</f>
        <v>0</v>
      </c>
      <c r="G110" s="26">
        <f>IFERROR(VLOOKUP(B110,'Runner List'!$B$3:$O$505,9,FALSE),0)</f>
        <v>0</v>
      </c>
      <c r="H110" s="25">
        <f>IFERROR(VLOOKUP(B110,'Runner List'!$B$3:$O$505,10,FALSE),0)</f>
        <v>0</v>
      </c>
      <c r="I110" s="24">
        <f>IFERROR(VLOOKUP(B110,'(2)Check In'!$B$4:$I$848,7,FALSE),0)</f>
        <v>0</v>
      </c>
      <c r="J110" s="24">
        <f>IFERROR(VLOOKUP(B110,'(2)Check In'!$B$4:$I$848,8,FALSE),0)</f>
        <v>0</v>
      </c>
      <c r="K110" s="24" t="str">
        <f t="shared" ca="1" si="4"/>
        <v/>
      </c>
      <c r="L110" s="127" t="e">
        <f t="shared" ca="1" si="3"/>
        <v>#VALUE!</v>
      </c>
      <c r="M110" s="142">
        <f>COUNTIFS($H$3:H110,H110)</f>
        <v>7</v>
      </c>
      <c r="N110" s="142">
        <f>COUNTIFS(F$3:$F110,F110,H$3:$H110,H110,E$3:$E110,E110)</f>
        <v>7</v>
      </c>
      <c r="O110" s="142">
        <f>COUNTIFS($F$3:F110,F110,$H$3:H110,H110)</f>
        <v>7</v>
      </c>
    </row>
    <row r="111" spans="1:15" ht="36.6" customHeight="1">
      <c r="A111" s="29">
        <v>108</v>
      </c>
      <c r="B111" s="54"/>
      <c r="C111" s="61">
        <f>IFERROR(VLOOKUP(B111,'Runner List'!$B$3:$O$505,5,FALSE),0)</f>
        <v>0</v>
      </c>
      <c r="D111" s="129">
        <f>IFERROR(VLOOKUP(B111,'Runner List'!$B$3:$O$505,6,FALSE),0)</f>
        <v>0</v>
      </c>
      <c r="E111" s="8">
        <f>IFERROR(VLOOKUP(B111,'Runner List'!$B$3:$O$505,7,FALSE),0)</f>
        <v>0</v>
      </c>
      <c r="F111" s="25">
        <f>IFERROR(VLOOKUP(B111,'Runner List'!$B$3:$O$505,8,FALSE),0)</f>
        <v>0</v>
      </c>
      <c r="G111" s="26">
        <f>IFERROR(VLOOKUP(B111,'Runner List'!$B$3:$O$505,9,FALSE),0)</f>
        <v>0</v>
      </c>
      <c r="H111" s="25">
        <f>IFERROR(VLOOKUP(B111,'Runner List'!$B$3:$O$505,10,FALSE),0)</f>
        <v>0</v>
      </c>
      <c r="I111" s="24">
        <f>IFERROR(VLOOKUP(B111,'(2)Check In'!$B$4:$I$848,7,FALSE),0)</f>
        <v>0</v>
      </c>
      <c r="J111" s="24">
        <f>IFERROR(VLOOKUP(B111,'(2)Check In'!$B$4:$I$848,8,FALSE),0)</f>
        <v>0</v>
      </c>
      <c r="K111" s="24" t="str">
        <f t="shared" ca="1" si="4"/>
        <v/>
      </c>
      <c r="L111" s="128" t="e">
        <f t="shared" ca="1" si="3"/>
        <v>#VALUE!</v>
      </c>
      <c r="M111" s="142">
        <f>COUNTIFS($H$3:H111,H111)</f>
        <v>8</v>
      </c>
      <c r="N111" s="142">
        <f>COUNTIFS(F$3:$F111,F111,H$3:$H111,H111,E$3:$E111,E111)</f>
        <v>8</v>
      </c>
      <c r="O111" s="142">
        <f>COUNTIFS($F$3:F111,F111,$H$3:H111,H111)</f>
        <v>8</v>
      </c>
    </row>
    <row r="112" spans="1:15" ht="36.6" customHeight="1">
      <c r="A112" s="28">
        <v>109</v>
      </c>
      <c r="B112" s="54"/>
      <c r="C112" s="61">
        <f>IFERROR(VLOOKUP(B112,'Runner List'!$B$3:$O$505,5,FALSE),0)</f>
        <v>0</v>
      </c>
      <c r="D112" s="129">
        <f>IFERROR(VLOOKUP(B112,'Runner List'!$B$3:$O$505,6,FALSE),0)</f>
        <v>0</v>
      </c>
      <c r="E112" s="8">
        <f>IFERROR(VLOOKUP(B112,'Runner List'!$B$3:$O$505,7,FALSE),0)</f>
        <v>0</v>
      </c>
      <c r="F112" s="25">
        <f>IFERROR(VLOOKUP(B112,'Runner List'!$B$3:$O$505,8,FALSE),0)</f>
        <v>0</v>
      </c>
      <c r="G112" s="26">
        <f>IFERROR(VLOOKUP(B112,'Runner List'!$B$3:$O$505,9,FALSE),0)</f>
        <v>0</v>
      </c>
      <c r="H112" s="25">
        <f>IFERROR(VLOOKUP(B112,'Runner List'!$B$3:$O$505,10,FALSE),0)</f>
        <v>0</v>
      </c>
      <c r="I112" s="24">
        <f>IFERROR(VLOOKUP(B112,'(2)Check In'!$B$4:$I$848,7,FALSE),0)</f>
        <v>0</v>
      </c>
      <c r="J112" s="24">
        <f>IFERROR(VLOOKUP(B112,'(2)Check In'!$B$4:$I$848,8,FALSE),0)</f>
        <v>0</v>
      </c>
      <c r="K112" s="24" t="str">
        <f t="shared" ref="K112:K123" ca="1" si="5">IF(B112="","",IF(K112="",NOW(),K112))</f>
        <v/>
      </c>
      <c r="L112" s="127" t="e">
        <f t="shared" ref="L112:L123" ca="1" si="6">K112-J112</f>
        <v>#VALUE!</v>
      </c>
      <c r="M112" s="142">
        <f>COUNTIFS($H$3:H112,H112)</f>
        <v>9</v>
      </c>
      <c r="N112" s="142">
        <f>COUNTIFS(F$3:$F112,F112,H$3:$H112,H112,E$3:$E112,E112)</f>
        <v>9</v>
      </c>
      <c r="O112" s="142">
        <f>COUNTIFS($F$3:F112,F112,$H$3:H112,H112)</f>
        <v>9</v>
      </c>
    </row>
    <row r="113" spans="1:15" ht="36.6" customHeight="1">
      <c r="A113" s="29">
        <v>110</v>
      </c>
      <c r="B113" s="54"/>
      <c r="C113" s="61">
        <f>IFERROR(VLOOKUP(B113,'Runner List'!$B$3:$O$505,5,FALSE),0)</f>
        <v>0</v>
      </c>
      <c r="D113" s="129">
        <f>IFERROR(VLOOKUP(B113,'Runner List'!$B$3:$O$505,6,FALSE),0)</f>
        <v>0</v>
      </c>
      <c r="E113" s="8">
        <f>IFERROR(VLOOKUP(B113,'Runner List'!$B$3:$O$505,7,FALSE),0)</f>
        <v>0</v>
      </c>
      <c r="F113" s="25">
        <f>IFERROR(VLOOKUP(B113,'Runner List'!$B$3:$O$505,8,FALSE),0)</f>
        <v>0</v>
      </c>
      <c r="G113" s="26">
        <f>IFERROR(VLOOKUP(B113,'Runner List'!$B$3:$O$505,9,FALSE),0)</f>
        <v>0</v>
      </c>
      <c r="H113" s="25">
        <f>IFERROR(VLOOKUP(B113,'Runner List'!$B$3:$O$505,10,FALSE),0)</f>
        <v>0</v>
      </c>
      <c r="I113" s="24">
        <f>IFERROR(VLOOKUP(B113,'(2)Check In'!$B$4:$I$848,7,FALSE),0)</f>
        <v>0</v>
      </c>
      <c r="J113" s="24">
        <f>IFERROR(VLOOKUP(B113,'(2)Check In'!$B$4:$I$848,8,FALSE),0)</f>
        <v>0</v>
      </c>
      <c r="K113" s="24" t="str">
        <f t="shared" ca="1" si="5"/>
        <v/>
      </c>
      <c r="L113" s="128" t="e">
        <f t="shared" ca="1" si="6"/>
        <v>#VALUE!</v>
      </c>
      <c r="M113" s="142">
        <f>COUNTIFS($H$3:H113,H113)</f>
        <v>10</v>
      </c>
      <c r="N113" s="142">
        <f>COUNTIFS(F$3:$F113,F113,H$3:$H113,H113,E$3:$E113,E113)</f>
        <v>10</v>
      </c>
      <c r="O113" s="142">
        <f>COUNTIFS($F$3:F113,F113,$H$3:H113,H113)</f>
        <v>10</v>
      </c>
    </row>
    <row r="114" spans="1:15" ht="36.6" customHeight="1">
      <c r="A114" s="28">
        <v>111</v>
      </c>
      <c r="B114" s="54"/>
      <c r="C114" s="61">
        <f>IFERROR(VLOOKUP(B114,'Runner List'!$B$3:$O$505,5,FALSE),0)</f>
        <v>0</v>
      </c>
      <c r="D114" s="129">
        <f>IFERROR(VLOOKUP(B114,'Runner List'!$B$3:$O$505,6,FALSE),0)</f>
        <v>0</v>
      </c>
      <c r="E114" s="8">
        <f>IFERROR(VLOOKUP(B114,'Runner List'!$B$3:$O$505,7,FALSE),0)</f>
        <v>0</v>
      </c>
      <c r="F114" s="25">
        <f>IFERROR(VLOOKUP(B114,'Runner List'!$B$3:$O$505,8,FALSE),0)</f>
        <v>0</v>
      </c>
      <c r="G114" s="26">
        <f>IFERROR(VLOOKUP(B114,'Runner List'!$B$3:$O$505,9,FALSE),0)</f>
        <v>0</v>
      </c>
      <c r="H114" s="25">
        <f>IFERROR(VLOOKUP(B114,'Runner List'!$B$3:$O$505,10,FALSE),0)</f>
        <v>0</v>
      </c>
      <c r="I114" s="24">
        <f>IFERROR(VLOOKUP(B114,'(2)Check In'!$B$4:$I$848,7,FALSE),0)</f>
        <v>0</v>
      </c>
      <c r="J114" s="24">
        <f>IFERROR(VLOOKUP(B114,'(2)Check In'!$B$4:$I$848,8,FALSE),0)</f>
        <v>0</v>
      </c>
      <c r="K114" s="24" t="str">
        <f t="shared" ca="1" si="5"/>
        <v/>
      </c>
      <c r="L114" s="127" t="e">
        <f t="shared" ca="1" si="6"/>
        <v>#VALUE!</v>
      </c>
      <c r="M114" s="142">
        <f>COUNTIFS($H$3:H114,H114)</f>
        <v>11</v>
      </c>
      <c r="N114" s="142">
        <f>COUNTIFS(F$3:$F114,F114,H$3:$H114,H114,E$3:$E114,E114)</f>
        <v>11</v>
      </c>
      <c r="O114" s="142">
        <f>COUNTIFS($F$3:F114,F114,$H$3:H114,H114)</f>
        <v>11</v>
      </c>
    </row>
    <row r="115" spans="1:15" ht="36.6" customHeight="1">
      <c r="A115" s="29">
        <v>112</v>
      </c>
      <c r="B115" s="54"/>
      <c r="C115" s="61">
        <f>IFERROR(VLOOKUP(B115,'Runner List'!$B$3:$O$505,5,FALSE),0)</f>
        <v>0</v>
      </c>
      <c r="D115" s="129">
        <f>IFERROR(VLOOKUP(B115,'Runner List'!$B$3:$O$505,6,FALSE),0)</f>
        <v>0</v>
      </c>
      <c r="E115" s="8">
        <f>IFERROR(VLOOKUP(B115,'Runner List'!$B$3:$O$505,7,FALSE),0)</f>
        <v>0</v>
      </c>
      <c r="F115" s="25">
        <f>IFERROR(VLOOKUP(B115,'Runner List'!$B$3:$O$505,8,FALSE),0)</f>
        <v>0</v>
      </c>
      <c r="G115" s="26">
        <f>IFERROR(VLOOKUP(B115,'Runner List'!$B$3:$O$505,9,FALSE),0)</f>
        <v>0</v>
      </c>
      <c r="H115" s="25">
        <f>IFERROR(VLOOKUP(B115,'Runner List'!$B$3:$O$505,10,FALSE),0)</f>
        <v>0</v>
      </c>
      <c r="I115" s="24">
        <f>IFERROR(VLOOKUP(B115,'(2)Check In'!$B$4:$I$848,7,FALSE),0)</f>
        <v>0</v>
      </c>
      <c r="J115" s="24">
        <f>IFERROR(VLOOKUP(B115,'(2)Check In'!$B$4:$I$848,8,FALSE),0)</f>
        <v>0</v>
      </c>
      <c r="K115" s="24" t="str">
        <f t="shared" ca="1" si="5"/>
        <v/>
      </c>
      <c r="L115" s="128" t="e">
        <f t="shared" ca="1" si="6"/>
        <v>#VALUE!</v>
      </c>
      <c r="M115" s="142">
        <f>COUNTIFS($H$3:H115,H115)</f>
        <v>12</v>
      </c>
      <c r="N115" s="142">
        <f>COUNTIFS(F$3:$F115,F115,H$3:$H115,H115,E$3:$E115,E115)</f>
        <v>12</v>
      </c>
      <c r="O115" s="142">
        <f>COUNTIFS($F$3:F115,F115,$H$3:H115,H115)</f>
        <v>12</v>
      </c>
    </row>
    <row r="116" spans="1:15" ht="36.6" customHeight="1">
      <c r="A116" s="28">
        <v>113</v>
      </c>
      <c r="B116" s="54"/>
      <c r="C116" s="61">
        <f>IFERROR(VLOOKUP(B116,'Runner List'!$B$3:$O$505,5,FALSE),0)</f>
        <v>0</v>
      </c>
      <c r="D116" s="129">
        <f>IFERROR(VLOOKUP(B116,'Runner List'!$B$3:$O$505,6,FALSE),0)</f>
        <v>0</v>
      </c>
      <c r="E116" s="8">
        <f>IFERROR(VLOOKUP(B116,'Runner List'!$B$3:$O$505,7,FALSE),0)</f>
        <v>0</v>
      </c>
      <c r="F116" s="25">
        <f>IFERROR(VLOOKUP(B116,'Runner List'!$B$3:$O$505,8,FALSE),0)</f>
        <v>0</v>
      </c>
      <c r="G116" s="26">
        <f>IFERROR(VLOOKUP(B116,'Runner List'!$B$3:$O$505,9,FALSE),0)</f>
        <v>0</v>
      </c>
      <c r="H116" s="25">
        <f>IFERROR(VLOOKUP(B116,'Runner List'!$B$3:$O$505,10,FALSE),0)</f>
        <v>0</v>
      </c>
      <c r="I116" s="24">
        <f>IFERROR(VLOOKUP(B116,'(2)Check In'!$B$4:$I$848,7,FALSE),0)</f>
        <v>0</v>
      </c>
      <c r="J116" s="24">
        <f>IFERROR(VLOOKUP(B116,'(2)Check In'!$B$4:$I$848,8,FALSE),0)</f>
        <v>0</v>
      </c>
      <c r="K116" s="24" t="str">
        <f t="shared" ca="1" si="5"/>
        <v/>
      </c>
      <c r="L116" s="127" t="e">
        <f t="shared" ca="1" si="6"/>
        <v>#VALUE!</v>
      </c>
      <c r="M116" s="142">
        <f>COUNTIFS($H$3:H116,H116)</f>
        <v>13</v>
      </c>
      <c r="N116" s="142">
        <f>COUNTIFS(F$3:$F116,F116,H$3:$H116,H116,E$3:$E116,E116)</f>
        <v>13</v>
      </c>
      <c r="O116" s="142">
        <f>COUNTIFS($F$3:F116,F116,$H$3:H116,H116)</f>
        <v>13</v>
      </c>
    </row>
    <row r="117" spans="1:15" ht="36.6" customHeight="1">
      <c r="A117" s="29">
        <v>114</v>
      </c>
      <c r="B117" s="54"/>
      <c r="C117" s="61">
        <f>IFERROR(VLOOKUP(B117,'Runner List'!$B$3:$O$505,5,FALSE),0)</f>
        <v>0</v>
      </c>
      <c r="D117" s="129">
        <f>IFERROR(VLOOKUP(B117,'Runner List'!$B$3:$O$505,6,FALSE),0)</f>
        <v>0</v>
      </c>
      <c r="E117" s="8">
        <f>IFERROR(VLOOKUP(B117,'Runner List'!$B$3:$O$505,7,FALSE),0)</f>
        <v>0</v>
      </c>
      <c r="F117" s="25">
        <f>IFERROR(VLOOKUP(B117,'Runner List'!$B$3:$O$505,8,FALSE),0)</f>
        <v>0</v>
      </c>
      <c r="G117" s="26">
        <f>IFERROR(VLOOKUP(B117,'Runner List'!$B$3:$O$505,9,FALSE),0)</f>
        <v>0</v>
      </c>
      <c r="H117" s="25">
        <f>IFERROR(VLOOKUP(B117,'Runner List'!$B$3:$O$505,10,FALSE),0)</f>
        <v>0</v>
      </c>
      <c r="I117" s="24">
        <f>IFERROR(VLOOKUP(B117,'(2)Check In'!$B$4:$I$848,7,FALSE),0)</f>
        <v>0</v>
      </c>
      <c r="J117" s="24">
        <f>IFERROR(VLOOKUP(B117,'(2)Check In'!$B$4:$I$848,8,FALSE),0)</f>
        <v>0</v>
      </c>
      <c r="K117" s="24" t="str">
        <f t="shared" ca="1" si="5"/>
        <v/>
      </c>
      <c r="L117" s="128" t="e">
        <f t="shared" ca="1" si="6"/>
        <v>#VALUE!</v>
      </c>
      <c r="M117" s="142">
        <f>COUNTIFS($H$3:H117,H117)</f>
        <v>14</v>
      </c>
      <c r="N117" s="142">
        <f>COUNTIFS(F$3:$F117,F117,H$3:$H117,H117,E$3:$E117,E117)</f>
        <v>14</v>
      </c>
      <c r="O117" s="142">
        <f>COUNTIFS($F$3:F117,F117,$H$3:H117,H117)</f>
        <v>14</v>
      </c>
    </row>
    <row r="118" spans="1:15" ht="36.6" customHeight="1">
      <c r="A118" s="28">
        <v>115</v>
      </c>
      <c r="B118" s="54"/>
      <c r="C118" s="61">
        <f>IFERROR(VLOOKUP(B118,'Runner List'!$B$3:$O$505,5,FALSE),0)</f>
        <v>0</v>
      </c>
      <c r="D118" s="129">
        <f>IFERROR(VLOOKUP(B118,'Runner List'!$B$3:$O$505,6,FALSE),0)</f>
        <v>0</v>
      </c>
      <c r="E118" s="8">
        <f>IFERROR(VLOOKUP(B118,'Runner List'!$B$3:$O$505,7,FALSE),0)</f>
        <v>0</v>
      </c>
      <c r="F118" s="25">
        <f>IFERROR(VLOOKUP(B118,'Runner List'!$B$3:$O$505,8,FALSE),0)</f>
        <v>0</v>
      </c>
      <c r="G118" s="26">
        <f>IFERROR(VLOOKUP(B118,'Runner List'!$B$3:$O$505,9,FALSE),0)</f>
        <v>0</v>
      </c>
      <c r="H118" s="25">
        <f>IFERROR(VLOOKUP(B118,'Runner List'!$B$3:$O$505,10,FALSE),0)</f>
        <v>0</v>
      </c>
      <c r="I118" s="24">
        <f>IFERROR(VLOOKUP(B118,'(2)Check In'!$B$4:$I$848,7,FALSE),0)</f>
        <v>0</v>
      </c>
      <c r="J118" s="24">
        <f>IFERROR(VLOOKUP(B118,'(2)Check In'!$B$4:$I$848,8,FALSE),0)</f>
        <v>0</v>
      </c>
      <c r="K118" s="24" t="str">
        <f t="shared" ca="1" si="5"/>
        <v/>
      </c>
      <c r="L118" s="127" t="e">
        <f t="shared" ca="1" si="6"/>
        <v>#VALUE!</v>
      </c>
      <c r="M118" s="142">
        <f>COUNTIFS($H$3:H118,H118)</f>
        <v>15</v>
      </c>
      <c r="N118" s="142">
        <f>COUNTIFS(F$3:$F118,F118,H$3:$H118,H118,E$3:$E118,E118)</f>
        <v>15</v>
      </c>
      <c r="O118" s="142">
        <f>COUNTIFS($F$3:F118,F118,$H$3:H118,H118)</f>
        <v>15</v>
      </c>
    </row>
    <row r="119" spans="1:15" ht="36.6" customHeight="1">
      <c r="A119" s="29">
        <v>116</v>
      </c>
      <c r="B119" s="54"/>
      <c r="C119" s="61">
        <f>IFERROR(VLOOKUP(B119,'Runner List'!$B$3:$O$505,5,FALSE),0)</f>
        <v>0</v>
      </c>
      <c r="D119" s="129">
        <f>IFERROR(VLOOKUP(B119,'Runner List'!$B$3:$O$505,6,FALSE),0)</f>
        <v>0</v>
      </c>
      <c r="E119" s="8">
        <f>IFERROR(VLOOKUP(B119,'Runner List'!$B$3:$O$505,7,FALSE),0)</f>
        <v>0</v>
      </c>
      <c r="F119" s="25">
        <f>IFERROR(VLOOKUP(B119,'Runner List'!$B$3:$O$505,8,FALSE),0)</f>
        <v>0</v>
      </c>
      <c r="G119" s="26">
        <f>IFERROR(VLOOKUP(B119,'Runner List'!$B$3:$O$505,9,FALSE),0)</f>
        <v>0</v>
      </c>
      <c r="H119" s="25">
        <f>IFERROR(VLOOKUP(B119,'Runner List'!$B$3:$O$505,10,FALSE),0)</f>
        <v>0</v>
      </c>
      <c r="I119" s="24">
        <f>IFERROR(VLOOKUP(B119,'(2)Check In'!$B$4:$I$848,7,FALSE),0)</f>
        <v>0</v>
      </c>
      <c r="J119" s="24">
        <f>IFERROR(VLOOKUP(B119,'(2)Check In'!$B$4:$I$848,8,FALSE),0)</f>
        <v>0</v>
      </c>
      <c r="K119" s="24" t="str">
        <f t="shared" ca="1" si="5"/>
        <v/>
      </c>
      <c r="L119" s="128" t="e">
        <f t="shared" ca="1" si="6"/>
        <v>#VALUE!</v>
      </c>
      <c r="M119" s="142">
        <f>COUNTIFS($H$3:H119,H119)</f>
        <v>16</v>
      </c>
      <c r="N119" s="142">
        <f>COUNTIFS(F$3:$F119,F119,H$3:$H119,H119,E$3:$E119,E119)</f>
        <v>16</v>
      </c>
      <c r="O119" s="142">
        <f>COUNTIFS($F$3:F119,F119,$H$3:H119,H119)</f>
        <v>16</v>
      </c>
    </row>
    <row r="120" spans="1:15" ht="36.6" customHeight="1">
      <c r="A120" s="28">
        <v>117</v>
      </c>
      <c r="B120" s="54"/>
      <c r="C120" s="61">
        <f>IFERROR(VLOOKUP(B120,'Runner List'!$B$3:$O$505,5,FALSE),0)</f>
        <v>0</v>
      </c>
      <c r="D120" s="129">
        <f>IFERROR(VLOOKUP(B120,'Runner List'!$B$3:$O$505,6,FALSE),0)</f>
        <v>0</v>
      </c>
      <c r="E120" s="8">
        <f>IFERROR(VLOOKUP(B120,'Runner List'!$B$3:$O$505,7,FALSE),0)</f>
        <v>0</v>
      </c>
      <c r="F120" s="25">
        <f>IFERROR(VLOOKUP(B120,'Runner List'!$B$3:$O$505,8,FALSE),0)</f>
        <v>0</v>
      </c>
      <c r="G120" s="26">
        <f>IFERROR(VLOOKUP(B120,'Runner List'!$B$3:$O$505,9,FALSE),0)</f>
        <v>0</v>
      </c>
      <c r="H120" s="25">
        <f>IFERROR(VLOOKUP(B120,'Runner List'!$B$3:$O$505,10,FALSE),0)</f>
        <v>0</v>
      </c>
      <c r="I120" s="24">
        <f>IFERROR(VLOOKUP(B120,'(2)Check In'!$B$4:$I$848,7,FALSE),0)</f>
        <v>0</v>
      </c>
      <c r="J120" s="24">
        <f>IFERROR(VLOOKUP(B120,'(2)Check In'!$B$4:$I$848,8,FALSE),0)</f>
        <v>0</v>
      </c>
      <c r="K120" s="24" t="str">
        <f t="shared" ca="1" si="5"/>
        <v/>
      </c>
      <c r="L120" s="127" t="e">
        <f t="shared" ca="1" si="6"/>
        <v>#VALUE!</v>
      </c>
      <c r="M120" s="142">
        <f>COUNTIFS($H$3:H120,H120)</f>
        <v>17</v>
      </c>
      <c r="N120" s="142">
        <f>COUNTIFS(F$3:$F120,F120,H$3:$H120,H120,E$3:$E120,E120)</f>
        <v>17</v>
      </c>
      <c r="O120" s="142">
        <f>COUNTIFS($F$3:F120,F120,$H$3:H120,H120)</f>
        <v>17</v>
      </c>
    </row>
    <row r="121" spans="1:15" ht="36.6" customHeight="1">
      <c r="A121" s="29">
        <v>118</v>
      </c>
      <c r="B121" s="54"/>
      <c r="C121" s="61">
        <f>IFERROR(VLOOKUP(B121,'Runner List'!$B$3:$O$505,5,FALSE),0)</f>
        <v>0</v>
      </c>
      <c r="D121" s="129">
        <f>IFERROR(VLOOKUP(B121,'Runner List'!$B$3:$O$505,6,FALSE),0)</f>
        <v>0</v>
      </c>
      <c r="E121" s="8">
        <f>IFERROR(VLOOKUP(B121,'Runner List'!$B$3:$O$505,7,FALSE),0)</f>
        <v>0</v>
      </c>
      <c r="F121" s="25">
        <f>IFERROR(VLOOKUP(B121,'Runner List'!$B$3:$O$505,8,FALSE),0)</f>
        <v>0</v>
      </c>
      <c r="G121" s="26">
        <f>IFERROR(VLOOKUP(B121,'Runner List'!$B$3:$O$505,9,FALSE),0)</f>
        <v>0</v>
      </c>
      <c r="H121" s="25">
        <f>IFERROR(VLOOKUP(B121,'Runner List'!$B$3:$O$505,10,FALSE),0)</f>
        <v>0</v>
      </c>
      <c r="I121" s="24">
        <f>IFERROR(VLOOKUP(B121,'(2)Check In'!$B$4:$I$848,7,FALSE),0)</f>
        <v>0</v>
      </c>
      <c r="J121" s="24">
        <f>IFERROR(VLOOKUP(B121,'(2)Check In'!$B$4:$I$848,8,FALSE),0)</f>
        <v>0</v>
      </c>
      <c r="K121" s="24" t="str">
        <f t="shared" ca="1" si="5"/>
        <v/>
      </c>
      <c r="L121" s="128" t="e">
        <f t="shared" ca="1" si="6"/>
        <v>#VALUE!</v>
      </c>
      <c r="M121" s="142">
        <f>COUNTIFS($H$3:H121,H121)</f>
        <v>18</v>
      </c>
      <c r="N121" s="142">
        <f>COUNTIFS(F$3:$F121,F121,H$3:$H121,H121,E$3:$E121,E121)</f>
        <v>18</v>
      </c>
      <c r="O121" s="142">
        <f>COUNTIFS($F$3:F121,F121,$H$3:H121,H121)</f>
        <v>18</v>
      </c>
    </row>
    <row r="122" spans="1:15" ht="36.6" customHeight="1">
      <c r="A122" s="28">
        <v>119</v>
      </c>
      <c r="B122" s="54"/>
      <c r="C122" s="61">
        <f>IFERROR(VLOOKUP(B122,'Runner List'!$B$3:$O$505,5,FALSE),0)</f>
        <v>0</v>
      </c>
      <c r="D122" s="129">
        <f>IFERROR(VLOOKUP(B122,'Runner List'!$B$3:$O$505,6,FALSE),0)</f>
        <v>0</v>
      </c>
      <c r="E122" s="8">
        <f>IFERROR(VLOOKUP(B122,'Runner List'!$B$3:$O$505,7,FALSE),0)</f>
        <v>0</v>
      </c>
      <c r="F122" s="25">
        <f>IFERROR(VLOOKUP(B122,'Runner List'!$B$3:$O$505,8,FALSE),0)</f>
        <v>0</v>
      </c>
      <c r="G122" s="26">
        <f>IFERROR(VLOOKUP(B122,'Runner List'!$B$3:$O$505,9,FALSE),0)</f>
        <v>0</v>
      </c>
      <c r="H122" s="25">
        <f>IFERROR(VLOOKUP(B122,'Runner List'!$B$3:$O$505,10,FALSE),0)</f>
        <v>0</v>
      </c>
      <c r="I122" s="24">
        <f>IFERROR(VLOOKUP(B122,'(2)Check In'!$B$4:$I$848,7,FALSE),0)</f>
        <v>0</v>
      </c>
      <c r="J122" s="24">
        <f>IFERROR(VLOOKUP(B122,'(2)Check In'!$B$4:$I$848,8,FALSE),0)</f>
        <v>0</v>
      </c>
      <c r="K122" s="24" t="str">
        <f t="shared" ca="1" si="5"/>
        <v/>
      </c>
      <c r="L122" s="127" t="e">
        <f t="shared" ca="1" si="6"/>
        <v>#VALUE!</v>
      </c>
      <c r="M122" s="142">
        <f>COUNTIFS($H$3:H122,H122)</f>
        <v>19</v>
      </c>
      <c r="N122" s="142">
        <f>COUNTIFS(F$3:$F122,F122,H$3:$H122,H122,E$3:$E122,E122)</f>
        <v>19</v>
      </c>
      <c r="O122" s="142">
        <f>COUNTIFS($F$3:F122,F122,$H$3:H122,H122)</f>
        <v>19</v>
      </c>
    </row>
    <row r="123" spans="1:15" ht="36.6" customHeight="1">
      <c r="A123" s="29">
        <v>120</v>
      </c>
      <c r="B123" s="54"/>
      <c r="C123" s="61">
        <f>IFERROR(VLOOKUP(B123,'Runner List'!$B$3:$O$505,5,FALSE),0)</f>
        <v>0</v>
      </c>
      <c r="D123" s="129">
        <f>IFERROR(VLOOKUP(B123,'Runner List'!$B$3:$O$505,6,FALSE),0)</f>
        <v>0</v>
      </c>
      <c r="E123" s="8">
        <f>IFERROR(VLOOKUP(B123,'Runner List'!$B$3:$O$505,7,FALSE),0)</f>
        <v>0</v>
      </c>
      <c r="F123" s="25">
        <f>IFERROR(VLOOKUP(B123,'Runner List'!$B$3:$O$505,8,FALSE),0)</f>
        <v>0</v>
      </c>
      <c r="G123" s="26">
        <f>IFERROR(VLOOKUP(B123,'Runner List'!$B$3:$O$505,9,FALSE),0)</f>
        <v>0</v>
      </c>
      <c r="H123" s="25">
        <f>IFERROR(VLOOKUP(B123,'Runner List'!$B$3:$O$505,10,FALSE),0)</f>
        <v>0</v>
      </c>
      <c r="I123" s="24">
        <f>IFERROR(VLOOKUP(B123,'(2)Check In'!$B$4:$I$848,7,FALSE),0)</f>
        <v>0</v>
      </c>
      <c r="J123" s="24">
        <f>IFERROR(VLOOKUP(B123,'(2)Check In'!$B$4:$I$848,8,FALSE),0)</f>
        <v>0</v>
      </c>
      <c r="K123" s="24" t="str">
        <f t="shared" ca="1" si="5"/>
        <v/>
      </c>
      <c r="L123" s="128" t="e">
        <f t="shared" ca="1" si="6"/>
        <v>#VALUE!</v>
      </c>
      <c r="M123" s="142">
        <f>COUNTIFS($H$3:H123,H123)</f>
        <v>20</v>
      </c>
      <c r="N123" s="142">
        <f>COUNTIFS(F$3:$F123,F123,H$3:$H123,H123,E$3:$E123,E123)</f>
        <v>20</v>
      </c>
      <c r="O123" s="142">
        <f>COUNTIFS($F$3:F123,F123,$H$3:H123,H123)</f>
        <v>20</v>
      </c>
    </row>
    <row r="124" spans="1:15" ht="36.6" customHeight="1">
      <c r="A124" s="28">
        <v>121</v>
      </c>
      <c r="B124" s="54"/>
      <c r="C124" s="61">
        <f>IFERROR(VLOOKUP(B124,'Runner List'!$B$3:$O$505,5,FALSE),0)</f>
        <v>0</v>
      </c>
      <c r="D124" s="129">
        <f>IFERROR(VLOOKUP(B124,'Runner List'!$B$3:$O$505,6,FALSE),0)</f>
        <v>0</v>
      </c>
      <c r="E124" s="8">
        <f>IFERROR(VLOOKUP(B124,'Runner List'!$B$3:$O$505,7,FALSE),0)</f>
        <v>0</v>
      </c>
      <c r="F124" s="25">
        <f>IFERROR(VLOOKUP(B124,'Runner List'!$B$3:$O$505,8,FALSE),0)</f>
        <v>0</v>
      </c>
      <c r="G124" s="26">
        <f>IFERROR(VLOOKUP(B124,'Runner List'!$B$3:$O$505,9,FALSE),0)</f>
        <v>0</v>
      </c>
      <c r="H124" s="25">
        <f>IFERROR(VLOOKUP(B124,'Runner List'!$B$3:$O$505,10,FALSE),0)</f>
        <v>0</v>
      </c>
      <c r="I124" s="24">
        <f>IFERROR(VLOOKUP(B124,'(2)Check In'!$B$4:$I$848,7,FALSE),0)</f>
        <v>0</v>
      </c>
      <c r="J124" s="24">
        <f>IFERROR(VLOOKUP(B124,'(2)Check In'!$B$4:$I$848,8,FALSE),0)</f>
        <v>0</v>
      </c>
      <c r="K124" s="24" t="str">
        <f t="shared" ref="K124:K151" ca="1" si="7">IF(B124="","",IF(K124="",NOW(),K124))</f>
        <v/>
      </c>
      <c r="L124" s="127" t="e">
        <f t="shared" ref="L124:L144" ca="1" si="8">K124-J124</f>
        <v>#VALUE!</v>
      </c>
      <c r="M124" s="142">
        <f>COUNTIFS($H$3:H124,H124)</f>
        <v>21</v>
      </c>
      <c r="N124" s="142">
        <f>COUNTIFS(F$3:$F124,F124,H$3:$H124,H124,E$3:$E124,E124)</f>
        <v>21</v>
      </c>
      <c r="O124" s="142">
        <f>COUNTIFS($F$3:F124,F124,$H$3:H124,H124)</f>
        <v>21</v>
      </c>
    </row>
    <row r="125" spans="1:15" ht="36.6" customHeight="1">
      <c r="A125" s="29">
        <v>122</v>
      </c>
      <c r="B125" s="54"/>
      <c r="C125" s="61">
        <f>IFERROR(VLOOKUP(B125,'Runner List'!$B$3:$O$505,5,FALSE),0)</f>
        <v>0</v>
      </c>
      <c r="D125" s="129">
        <f>IFERROR(VLOOKUP(B125,'Runner List'!$B$3:$O$505,6,FALSE),0)</f>
        <v>0</v>
      </c>
      <c r="E125" s="8">
        <f>IFERROR(VLOOKUP(B125,'Runner List'!$B$3:$O$505,7,FALSE),0)</f>
        <v>0</v>
      </c>
      <c r="F125" s="25">
        <f>IFERROR(VLOOKUP(B125,'Runner List'!$B$3:$O$505,8,FALSE),0)</f>
        <v>0</v>
      </c>
      <c r="G125" s="26">
        <f>IFERROR(VLOOKUP(B125,'Runner List'!$B$3:$O$505,9,FALSE),0)</f>
        <v>0</v>
      </c>
      <c r="H125" s="25">
        <f>IFERROR(VLOOKUP(B125,'Runner List'!$B$3:$O$505,10,FALSE),0)</f>
        <v>0</v>
      </c>
      <c r="I125" s="24">
        <f>IFERROR(VLOOKUP(B125,'(2)Check In'!$B$4:$I$848,7,FALSE),0)</f>
        <v>0</v>
      </c>
      <c r="J125" s="24">
        <f>IFERROR(VLOOKUP(B125,'(2)Check In'!$B$4:$I$848,8,FALSE),0)</f>
        <v>0</v>
      </c>
      <c r="K125" s="24" t="str">
        <f t="shared" ca="1" si="7"/>
        <v/>
      </c>
      <c r="L125" s="128" t="e">
        <f t="shared" ca="1" si="8"/>
        <v>#VALUE!</v>
      </c>
      <c r="M125" s="142">
        <f>COUNTIFS($H$3:H125,H125)</f>
        <v>22</v>
      </c>
      <c r="N125" s="142">
        <f>COUNTIFS(F$3:$F125,F125,H$3:$H125,H125,E$3:$E125,E125)</f>
        <v>22</v>
      </c>
      <c r="O125" s="142">
        <f>COUNTIFS($F$3:F125,F125,$H$3:H125,H125)</f>
        <v>22</v>
      </c>
    </row>
    <row r="126" spans="1:15" ht="36.6" customHeight="1">
      <c r="A126" s="28">
        <v>123</v>
      </c>
      <c r="B126" s="54"/>
      <c r="C126" s="61">
        <f>IFERROR(VLOOKUP(B126,'Runner List'!$B$3:$O$505,5,FALSE),0)</f>
        <v>0</v>
      </c>
      <c r="D126" s="129">
        <f>IFERROR(VLOOKUP(B126,'Runner List'!$B$3:$O$505,6,FALSE),0)</f>
        <v>0</v>
      </c>
      <c r="E126" s="8">
        <f>IFERROR(VLOOKUP(B126,'Runner List'!$B$3:$O$505,7,FALSE),0)</f>
        <v>0</v>
      </c>
      <c r="F126" s="25">
        <f>IFERROR(VLOOKUP(B126,'Runner List'!$B$3:$O$505,8,FALSE),0)</f>
        <v>0</v>
      </c>
      <c r="G126" s="26">
        <f>IFERROR(VLOOKUP(B126,'Runner List'!$B$3:$O$505,9,FALSE),0)</f>
        <v>0</v>
      </c>
      <c r="H126" s="25">
        <f>IFERROR(VLOOKUP(B126,'Runner List'!$B$3:$O$505,10,FALSE),0)</f>
        <v>0</v>
      </c>
      <c r="I126" s="24">
        <f>IFERROR(VLOOKUP(B126,'(2)Check In'!$B$4:$I$848,7,FALSE),0)</f>
        <v>0</v>
      </c>
      <c r="J126" s="24">
        <f>IFERROR(VLOOKUP(B126,'(2)Check In'!$B$4:$I$848,8,FALSE),0)</f>
        <v>0</v>
      </c>
      <c r="K126" s="24" t="str">
        <f t="shared" ca="1" si="7"/>
        <v/>
      </c>
      <c r="L126" s="127" t="e">
        <f t="shared" ca="1" si="8"/>
        <v>#VALUE!</v>
      </c>
      <c r="M126" s="142">
        <f>COUNTIFS($H$3:H126,H126)</f>
        <v>23</v>
      </c>
      <c r="N126" s="142">
        <f>COUNTIFS(F$3:$F126,F126,H$3:$H126,H126,E$3:$E126,E126)</f>
        <v>23</v>
      </c>
      <c r="O126" s="142">
        <f>COUNTIFS($F$3:F126,F126,$H$3:H126,H126)</f>
        <v>23</v>
      </c>
    </row>
    <row r="127" spans="1:15" ht="36.6" customHeight="1">
      <c r="A127" s="29">
        <v>124</v>
      </c>
      <c r="B127" s="54"/>
      <c r="C127" s="61">
        <f>IFERROR(VLOOKUP(B127,'Runner List'!$B$3:$O$505,5,FALSE),0)</f>
        <v>0</v>
      </c>
      <c r="D127" s="129">
        <f>IFERROR(VLOOKUP(B127,'Runner List'!$B$3:$O$505,6,FALSE),0)</f>
        <v>0</v>
      </c>
      <c r="E127" s="8">
        <f>IFERROR(VLOOKUP(B127,'Runner List'!$B$3:$O$505,7,FALSE),0)</f>
        <v>0</v>
      </c>
      <c r="F127" s="25">
        <f>IFERROR(VLOOKUP(B127,'Runner List'!$B$3:$O$505,8,FALSE),0)</f>
        <v>0</v>
      </c>
      <c r="G127" s="26">
        <f>IFERROR(VLOOKUP(B127,'Runner List'!$B$3:$O$505,9,FALSE),0)</f>
        <v>0</v>
      </c>
      <c r="H127" s="25">
        <f>IFERROR(VLOOKUP(B127,'Runner List'!$B$3:$O$505,10,FALSE),0)</f>
        <v>0</v>
      </c>
      <c r="I127" s="24">
        <f>IFERROR(VLOOKUP(B127,'(2)Check In'!$B$4:$I$848,7,FALSE),0)</f>
        <v>0</v>
      </c>
      <c r="J127" s="24">
        <f>IFERROR(VLOOKUP(B127,'(2)Check In'!$B$4:$I$848,8,FALSE),0)</f>
        <v>0</v>
      </c>
      <c r="K127" s="24" t="str">
        <f t="shared" ca="1" si="7"/>
        <v/>
      </c>
      <c r="L127" s="128" t="e">
        <f t="shared" ca="1" si="8"/>
        <v>#VALUE!</v>
      </c>
      <c r="M127" s="142">
        <f>COUNTIFS($H$3:H127,H127)</f>
        <v>24</v>
      </c>
      <c r="N127" s="142">
        <f>COUNTIFS(F$3:$F127,F127,H$3:$H127,H127,E$3:$E127,E127)</f>
        <v>24</v>
      </c>
      <c r="O127" s="142">
        <f>COUNTIFS($F$3:F127,F127,$H$3:H127,H127)</f>
        <v>24</v>
      </c>
    </row>
    <row r="128" spans="1:15" ht="36.6" customHeight="1">
      <c r="A128" s="28">
        <v>125</v>
      </c>
      <c r="B128" s="54"/>
      <c r="C128" s="61">
        <f>IFERROR(VLOOKUP(B128,'Runner List'!$B$3:$O$505,5,FALSE),0)</f>
        <v>0</v>
      </c>
      <c r="D128" s="129">
        <f>IFERROR(VLOOKUP(B128,'Runner List'!$B$3:$O$505,6,FALSE),0)</f>
        <v>0</v>
      </c>
      <c r="E128" s="8">
        <f>IFERROR(VLOOKUP(B128,'Runner List'!$B$3:$O$505,7,FALSE),0)</f>
        <v>0</v>
      </c>
      <c r="F128" s="25">
        <f>IFERROR(VLOOKUP(B128,'Runner List'!$B$3:$O$505,8,FALSE),0)</f>
        <v>0</v>
      </c>
      <c r="G128" s="26">
        <f>IFERROR(VLOOKUP(B128,'Runner List'!$B$3:$O$505,9,FALSE),0)</f>
        <v>0</v>
      </c>
      <c r="H128" s="25">
        <f>IFERROR(VLOOKUP(B128,'Runner List'!$B$3:$O$505,10,FALSE),0)</f>
        <v>0</v>
      </c>
      <c r="I128" s="24">
        <f>IFERROR(VLOOKUP(B128,'(2)Check In'!$B$4:$I$848,7,FALSE),0)</f>
        <v>0</v>
      </c>
      <c r="J128" s="24">
        <f>IFERROR(VLOOKUP(B128,'(2)Check In'!$B$4:$I$848,8,FALSE),0)</f>
        <v>0</v>
      </c>
      <c r="K128" s="24" t="str">
        <f t="shared" ca="1" si="7"/>
        <v/>
      </c>
      <c r="L128" s="127" t="e">
        <f t="shared" ca="1" si="8"/>
        <v>#VALUE!</v>
      </c>
      <c r="M128" s="142">
        <f>COUNTIFS($H$3:H128,H128)</f>
        <v>25</v>
      </c>
      <c r="N128" s="142">
        <f>COUNTIFS(F$3:$F128,F128,H$3:$H128,H128,E$3:$E128,E128)</f>
        <v>25</v>
      </c>
      <c r="O128" s="142">
        <f>COUNTIFS($F$3:F128,F128,$H$3:H128,H128)</f>
        <v>25</v>
      </c>
    </row>
    <row r="129" spans="1:15" ht="36.6" customHeight="1">
      <c r="A129" s="29">
        <v>126</v>
      </c>
      <c r="B129" s="54"/>
      <c r="C129" s="61">
        <f>IFERROR(VLOOKUP(B129,'Runner List'!$B$3:$O$505,5,FALSE),0)</f>
        <v>0</v>
      </c>
      <c r="D129" s="129">
        <f>IFERROR(VLOOKUP(B129,'Runner List'!$B$3:$O$505,6,FALSE),0)</f>
        <v>0</v>
      </c>
      <c r="E129" s="8">
        <f>IFERROR(VLOOKUP(B129,'Runner List'!$B$3:$O$505,7,FALSE),0)</f>
        <v>0</v>
      </c>
      <c r="F129" s="25">
        <f>IFERROR(VLOOKUP(B129,'Runner List'!$B$3:$O$505,8,FALSE),0)</f>
        <v>0</v>
      </c>
      <c r="G129" s="26">
        <f>IFERROR(VLOOKUP(B129,'Runner List'!$B$3:$O$505,9,FALSE),0)</f>
        <v>0</v>
      </c>
      <c r="H129" s="25">
        <f>IFERROR(VLOOKUP(B129,'Runner List'!$B$3:$O$505,10,FALSE),0)</f>
        <v>0</v>
      </c>
      <c r="I129" s="24">
        <f>IFERROR(VLOOKUP(B129,'(2)Check In'!$B$4:$I$848,7,FALSE),0)</f>
        <v>0</v>
      </c>
      <c r="J129" s="24">
        <f>IFERROR(VLOOKUP(B129,'(2)Check In'!$B$4:$I$848,8,FALSE),0)</f>
        <v>0</v>
      </c>
      <c r="K129" s="24" t="str">
        <f t="shared" ca="1" si="7"/>
        <v/>
      </c>
      <c r="L129" s="128" t="e">
        <f t="shared" ca="1" si="8"/>
        <v>#VALUE!</v>
      </c>
      <c r="M129" s="142">
        <f>COUNTIFS($H$3:H129,H129)</f>
        <v>26</v>
      </c>
      <c r="N129" s="142">
        <f>COUNTIFS(F$3:$F129,F129,H$3:$H129,H129,E$3:$E129,E129)</f>
        <v>26</v>
      </c>
      <c r="O129" s="142">
        <f>COUNTIFS($F$3:F129,F129,$H$3:H129,H129)</f>
        <v>26</v>
      </c>
    </row>
    <row r="130" spans="1:15" ht="36.6" customHeight="1">
      <c r="A130" s="28">
        <v>127</v>
      </c>
      <c r="B130" s="54"/>
      <c r="C130" s="61">
        <f>IFERROR(VLOOKUP(B130,'Runner List'!$B$3:$O$505,5,FALSE),0)</f>
        <v>0</v>
      </c>
      <c r="D130" s="129">
        <f>IFERROR(VLOOKUP(B130,'Runner List'!$B$3:$O$505,6,FALSE),0)</f>
        <v>0</v>
      </c>
      <c r="E130" s="8">
        <f>IFERROR(VLOOKUP(B130,'Runner List'!$B$3:$O$505,7,FALSE),0)</f>
        <v>0</v>
      </c>
      <c r="F130" s="25">
        <f>IFERROR(VLOOKUP(B130,'Runner List'!$B$3:$O$505,8,FALSE),0)</f>
        <v>0</v>
      </c>
      <c r="G130" s="26">
        <f>IFERROR(VLOOKUP(B130,'Runner List'!$B$3:$O$505,9,FALSE),0)</f>
        <v>0</v>
      </c>
      <c r="H130" s="25">
        <f>IFERROR(VLOOKUP(B130,'Runner List'!$B$3:$O$505,10,FALSE),0)</f>
        <v>0</v>
      </c>
      <c r="I130" s="24">
        <f>IFERROR(VLOOKUP(B130,'(2)Check In'!$B$4:$I$848,7,FALSE),0)</f>
        <v>0</v>
      </c>
      <c r="J130" s="24">
        <f>IFERROR(VLOOKUP(B130,'(2)Check In'!$B$4:$I$848,8,FALSE),0)</f>
        <v>0</v>
      </c>
      <c r="K130" s="24" t="str">
        <f t="shared" ca="1" si="7"/>
        <v/>
      </c>
      <c r="L130" s="127" t="e">
        <f t="shared" ca="1" si="8"/>
        <v>#VALUE!</v>
      </c>
      <c r="M130" s="142">
        <f>COUNTIFS($H$3:H130,H130)</f>
        <v>27</v>
      </c>
      <c r="N130" s="142">
        <f>COUNTIFS(F$3:$F130,F130,H$3:$H130,H130,E$3:$E130,E130)</f>
        <v>27</v>
      </c>
      <c r="O130" s="142">
        <f>COUNTIFS($F$3:F130,F130,$H$3:H130,H130)</f>
        <v>27</v>
      </c>
    </row>
    <row r="131" spans="1:15" ht="36.6" customHeight="1">
      <c r="A131" s="29">
        <v>128</v>
      </c>
      <c r="B131" s="54"/>
      <c r="C131" s="61">
        <f>IFERROR(VLOOKUP(B131,'Runner List'!$B$3:$O$505,5,FALSE),0)</f>
        <v>0</v>
      </c>
      <c r="D131" s="129">
        <f>IFERROR(VLOOKUP(B131,'Runner List'!$B$3:$O$505,6,FALSE),0)</f>
        <v>0</v>
      </c>
      <c r="E131" s="8">
        <f>IFERROR(VLOOKUP(B131,'Runner List'!$B$3:$O$505,7,FALSE),0)</f>
        <v>0</v>
      </c>
      <c r="F131" s="25">
        <f>IFERROR(VLOOKUP(B131,'Runner List'!$B$3:$O$505,8,FALSE),0)</f>
        <v>0</v>
      </c>
      <c r="G131" s="26">
        <f>IFERROR(VLOOKUP(B131,'Runner List'!$B$3:$O$505,9,FALSE),0)</f>
        <v>0</v>
      </c>
      <c r="H131" s="25">
        <f>IFERROR(VLOOKUP(B131,'Runner List'!$B$3:$O$505,10,FALSE),0)</f>
        <v>0</v>
      </c>
      <c r="I131" s="24">
        <f>IFERROR(VLOOKUP(B131,'(2)Check In'!$B$4:$I$848,7,FALSE),0)</f>
        <v>0</v>
      </c>
      <c r="J131" s="24">
        <f>IFERROR(VLOOKUP(B131,'(2)Check In'!$B$4:$I$848,8,FALSE),0)</f>
        <v>0</v>
      </c>
      <c r="K131" s="24" t="str">
        <f t="shared" ca="1" si="7"/>
        <v/>
      </c>
      <c r="L131" s="128" t="e">
        <f t="shared" ca="1" si="8"/>
        <v>#VALUE!</v>
      </c>
      <c r="M131" s="142">
        <f>COUNTIFS($H$3:H131,H131)</f>
        <v>28</v>
      </c>
      <c r="N131" s="142">
        <f>COUNTIFS(F$3:$F131,F131,H$3:$H131,H131,E$3:$E131,E131)</f>
        <v>28</v>
      </c>
      <c r="O131" s="142">
        <f>COUNTIFS($F$3:F131,F131,$H$3:H131,H131)</f>
        <v>28</v>
      </c>
    </row>
    <row r="132" spans="1:15" ht="36.6" customHeight="1">
      <c r="A132" s="28">
        <v>129</v>
      </c>
      <c r="B132" s="54"/>
      <c r="C132" s="61">
        <f>IFERROR(VLOOKUP(B132,'Runner List'!$B$3:$O$505,5,FALSE),0)</f>
        <v>0</v>
      </c>
      <c r="D132" s="129">
        <f>IFERROR(VLOOKUP(B132,'Runner List'!$B$3:$O$505,6,FALSE),0)</f>
        <v>0</v>
      </c>
      <c r="E132" s="8">
        <f>IFERROR(VLOOKUP(B132,'Runner List'!$B$3:$O$505,7,FALSE),0)</f>
        <v>0</v>
      </c>
      <c r="F132" s="25">
        <f>IFERROR(VLOOKUP(B132,'Runner List'!$B$3:$O$505,8,FALSE),0)</f>
        <v>0</v>
      </c>
      <c r="G132" s="26">
        <f>IFERROR(VLOOKUP(B132,'Runner List'!$B$3:$O$505,9,FALSE),0)</f>
        <v>0</v>
      </c>
      <c r="H132" s="25">
        <f>IFERROR(VLOOKUP(B132,'Runner List'!$B$3:$O$505,10,FALSE),0)</f>
        <v>0</v>
      </c>
      <c r="I132" s="24">
        <f>IFERROR(VLOOKUP(B132,'(2)Check In'!$B$4:$I$848,7,FALSE),0)</f>
        <v>0</v>
      </c>
      <c r="J132" s="24">
        <f>IFERROR(VLOOKUP(B132,'(2)Check In'!$B$4:$I$848,8,FALSE),0)</f>
        <v>0</v>
      </c>
      <c r="K132" s="24" t="str">
        <f t="shared" ca="1" si="7"/>
        <v/>
      </c>
      <c r="L132" s="128" t="e">
        <f t="shared" ca="1" si="8"/>
        <v>#VALUE!</v>
      </c>
      <c r="M132" s="142">
        <f>COUNTIFS($H$3:H132,H132)</f>
        <v>29</v>
      </c>
      <c r="N132" s="142">
        <f>COUNTIFS(F$3:$F132,F132,H$3:$H132,H132,E$3:$E132,E132)</f>
        <v>29</v>
      </c>
      <c r="O132" s="142">
        <f>COUNTIFS($F$3:F132,F132,$H$3:H132,H132)</f>
        <v>29</v>
      </c>
    </row>
    <row r="133" spans="1:15" ht="36.6" customHeight="1">
      <c r="A133" s="29">
        <v>130</v>
      </c>
      <c r="B133" s="54"/>
      <c r="C133" s="61">
        <f>IFERROR(VLOOKUP(B133,'Runner List'!$B$3:$O$505,5,FALSE),0)</f>
        <v>0</v>
      </c>
      <c r="D133" s="129">
        <f>IFERROR(VLOOKUP(B133,'Runner List'!$B$3:$O$505,6,FALSE),0)</f>
        <v>0</v>
      </c>
      <c r="E133" s="8">
        <f>IFERROR(VLOOKUP(B133,'Runner List'!$B$3:$O$505,7,FALSE),0)</f>
        <v>0</v>
      </c>
      <c r="F133" s="25">
        <f>IFERROR(VLOOKUP(B133,'Runner List'!$B$3:$O$505,8,FALSE),0)</f>
        <v>0</v>
      </c>
      <c r="G133" s="26">
        <f>IFERROR(VLOOKUP(B133,'Runner List'!$B$3:$O$505,9,FALSE),0)</f>
        <v>0</v>
      </c>
      <c r="H133" s="25">
        <f>IFERROR(VLOOKUP(B133,'Runner List'!$B$3:$O$505,10,FALSE),0)</f>
        <v>0</v>
      </c>
      <c r="I133" s="24">
        <f>IFERROR(VLOOKUP(B133,'(2)Check In'!$B$4:$I$848,7,FALSE),0)</f>
        <v>0</v>
      </c>
      <c r="J133" s="24">
        <f>IFERROR(VLOOKUP(B133,'(2)Check In'!$B$4:$I$848,8,FALSE),0)</f>
        <v>0</v>
      </c>
      <c r="K133" s="24" t="str">
        <f t="shared" ca="1" si="7"/>
        <v/>
      </c>
      <c r="L133" s="127" t="e">
        <f t="shared" ca="1" si="8"/>
        <v>#VALUE!</v>
      </c>
      <c r="M133" s="142">
        <f>COUNTIFS($H$3:H133,H133)</f>
        <v>30</v>
      </c>
      <c r="N133" s="142">
        <f>COUNTIFS(F$3:$F133,F133,H$3:$H133,H133,E$3:$E133,E133)</f>
        <v>30</v>
      </c>
      <c r="O133" s="142">
        <f>COUNTIFS($F$3:F133,F133,$H$3:H133,H133)</f>
        <v>30</v>
      </c>
    </row>
    <row r="134" spans="1:15" ht="36.6" customHeight="1">
      <c r="A134" s="28">
        <v>131</v>
      </c>
      <c r="B134" s="54"/>
      <c r="C134" s="61">
        <f>IFERROR(VLOOKUP(B134,'Runner List'!$B$3:$O$505,5,FALSE),0)</f>
        <v>0</v>
      </c>
      <c r="D134" s="129">
        <f>IFERROR(VLOOKUP(B134,'Runner List'!$B$3:$O$505,6,FALSE),0)</f>
        <v>0</v>
      </c>
      <c r="E134" s="8">
        <f>IFERROR(VLOOKUP(B134,'Runner List'!$B$3:$O$505,7,FALSE),0)</f>
        <v>0</v>
      </c>
      <c r="F134" s="25">
        <f>IFERROR(VLOOKUP(B134,'Runner List'!$B$3:$O$505,8,FALSE),0)</f>
        <v>0</v>
      </c>
      <c r="G134" s="26">
        <f>IFERROR(VLOOKUP(B134,'Runner List'!$B$3:$O$505,9,FALSE),0)</f>
        <v>0</v>
      </c>
      <c r="H134" s="25">
        <f>IFERROR(VLOOKUP(B134,'Runner List'!$B$3:$O$505,10,FALSE),0)</f>
        <v>0</v>
      </c>
      <c r="I134" s="24">
        <f>IFERROR(VLOOKUP(B134,'(2)Check In'!$B$4:$I$848,7,FALSE),0)</f>
        <v>0</v>
      </c>
      <c r="J134" s="24">
        <f>IFERROR(VLOOKUP(B134,'(2)Check In'!$B$4:$I$848,8,FALSE),0)</f>
        <v>0</v>
      </c>
      <c r="K134" s="24" t="str">
        <f t="shared" ca="1" si="7"/>
        <v/>
      </c>
      <c r="L134" s="128" t="e">
        <f t="shared" ca="1" si="8"/>
        <v>#VALUE!</v>
      </c>
      <c r="M134" s="142">
        <f>COUNTIFS($H$3:H134,H134)</f>
        <v>31</v>
      </c>
      <c r="N134" s="142">
        <f>COUNTIFS(F$3:$F134,F134,H$3:$H134,H134,E$3:$E134,E134)</f>
        <v>31</v>
      </c>
      <c r="O134" s="142">
        <f>COUNTIFS($F$3:F134,F134,$H$3:H134,H134)</f>
        <v>31</v>
      </c>
    </row>
    <row r="135" spans="1:15" ht="36.6" customHeight="1">
      <c r="A135" s="29">
        <v>132</v>
      </c>
      <c r="B135" s="54"/>
      <c r="C135" s="61">
        <f>IFERROR(VLOOKUP(B135,'Runner List'!$B$3:$O$505,5,FALSE),0)</f>
        <v>0</v>
      </c>
      <c r="D135" s="129">
        <f>IFERROR(VLOOKUP(B135,'Runner List'!$B$3:$O$505,6,FALSE),0)</f>
        <v>0</v>
      </c>
      <c r="E135" s="8">
        <f>IFERROR(VLOOKUP(B135,'Runner List'!$B$3:$O$505,7,FALSE),0)</f>
        <v>0</v>
      </c>
      <c r="F135" s="25">
        <f>IFERROR(VLOOKUP(B135,'Runner List'!$B$3:$O$505,8,FALSE),0)</f>
        <v>0</v>
      </c>
      <c r="G135" s="26">
        <f>IFERROR(VLOOKUP(B135,'Runner List'!$B$3:$O$505,9,FALSE),0)</f>
        <v>0</v>
      </c>
      <c r="H135" s="25">
        <f>IFERROR(VLOOKUP(B135,'Runner List'!$B$3:$O$505,10,FALSE),0)</f>
        <v>0</v>
      </c>
      <c r="I135" s="24">
        <f>IFERROR(VLOOKUP(B135,'(2)Check In'!$B$4:$I$848,7,FALSE),0)</f>
        <v>0</v>
      </c>
      <c r="J135" s="24">
        <f>IFERROR(VLOOKUP(B135,'(2)Check In'!$B$4:$I$848,8,FALSE),0)</f>
        <v>0</v>
      </c>
      <c r="K135" s="24" t="str">
        <f t="shared" ca="1" si="7"/>
        <v/>
      </c>
      <c r="L135" s="127" t="e">
        <f t="shared" ca="1" si="8"/>
        <v>#VALUE!</v>
      </c>
      <c r="M135" s="142">
        <f>COUNTIFS($H$3:H135,H135)</f>
        <v>32</v>
      </c>
      <c r="N135" s="142">
        <f>COUNTIFS(F$3:$F135,F135,H$3:$H135,H135,E$3:$E135,E135)</f>
        <v>32</v>
      </c>
      <c r="O135" s="142">
        <f>COUNTIFS($F$3:F135,F135,$H$3:H135,H135)</f>
        <v>32</v>
      </c>
    </row>
    <row r="136" spans="1:15" ht="36.6" customHeight="1">
      <c r="A136" s="28">
        <v>133</v>
      </c>
      <c r="B136" s="54"/>
      <c r="C136" s="61">
        <f>IFERROR(VLOOKUP(B136,'Runner List'!$B$3:$O$505,5,FALSE),0)</f>
        <v>0</v>
      </c>
      <c r="D136" s="129">
        <f>IFERROR(VLOOKUP(B136,'Runner List'!$B$3:$O$505,6,FALSE),0)</f>
        <v>0</v>
      </c>
      <c r="E136" s="8">
        <f>IFERROR(VLOOKUP(B136,'Runner List'!$B$3:$O$505,7,FALSE),0)</f>
        <v>0</v>
      </c>
      <c r="F136" s="25">
        <f>IFERROR(VLOOKUP(B136,'Runner List'!$B$3:$O$505,8,FALSE),0)</f>
        <v>0</v>
      </c>
      <c r="G136" s="26">
        <f>IFERROR(VLOOKUP(B136,'Runner List'!$B$3:$O$505,9,FALSE),0)</f>
        <v>0</v>
      </c>
      <c r="H136" s="25">
        <f>IFERROR(VLOOKUP(B136,'Runner List'!$B$3:$O$505,10,FALSE),0)</f>
        <v>0</v>
      </c>
      <c r="I136" s="24">
        <f>IFERROR(VLOOKUP(B136,'(2)Check In'!$B$4:$I$848,7,FALSE),0)</f>
        <v>0</v>
      </c>
      <c r="J136" s="24">
        <f>IFERROR(VLOOKUP(B136,'(2)Check In'!$B$4:$I$848,8,FALSE),0)</f>
        <v>0</v>
      </c>
      <c r="K136" s="24" t="str">
        <f t="shared" ca="1" si="7"/>
        <v/>
      </c>
      <c r="L136" s="128" t="e">
        <f t="shared" ca="1" si="8"/>
        <v>#VALUE!</v>
      </c>
      <c r="M136" s="142">
        <f>COUNTIFS($H$3:H136,H136)</f>
        <v>33</v>
      </c>
      <c r="N136" s="142">
        <f>COUNTIFS(F$3:$F136,F136,H$3:$H136,H136,E$3:$E136,E136)</f>
        <v>33</v>
      </c>
      <c r="O136" s="142">
        <f>COUNTIFS($F$3:F136,F136,$H$3:H136,H136)</f>
        <v>33</v>
      </c>
    </row>
    <row r="137" spans="1:15" ht="36.6" customHeight="1">
      <c r="A137" s="29">
        <v>134</v>
      </c>
      <c r="B137" s="54"/>
      <c r="C137" s="61">
        <f>IFERROR(VLOOKUP(B137,'Runner List'!$B$3:$O$505,5,FALSE),0)</f>
        <v>0</v>
      </c>
      <c r="D137" s="129">
        <f>IFERROR(VLOOKUP(B137,'Runner List'!$B$3:$O$505,6,FALSE),0)</f>
        <v>0</v>
      </c>
      <c r="E137" s="8">
        <f>IFERROR(VLOOKUP(B137,'Runner List'!$B$3:$O$505,7,FALSE),0)</f>
        <v>0</v>
      </c>
      <c r="F137" s="25">
        <f>IFERROR(VLOOKUP(B137,'Runner List'!$B$3:$O$505,8,FALSE),0)</f>
        <v>0</v>
      </c>
      <c r="G137" s="26">
        <f>IFERROR(VLOOKUP(B137,'Runner List'!$B$3:$O$505,9,FALSE),0)</f>
        <v>0</v>
      </c>
      <c r="H137" s="25">
        <f>IFERROR(VLOOKUP(B137,'Runner List'!$B$3:$O$505,10,FALSE),0)</f>
        <v>0</v>
      </c>
      <c r="I137" s="24">
        <f>IFERROR(VLOOKUP(B137,'(2)Check In'!$B$4:$I$848,7,FALSE),0)</f>
        <v>0</v>
      </c>
      <c r="J137" s="24">
        <f>IFERROR(VLOOKUP(B137,'(2)Check In'!$B$4:$I$848,8,FALSE),0)</f>
        <v>0</v>
      </c>
      <c r="K137" s="24" t="str">
        <f t="shared" ca="1" si="7"/>
        <v/>
      </c>
      <c r="L137" s="127" t="e">
        <f t="shared" ca="1" si="8"/>
        <v>#VALUE!</v>
      </c>
      <c r="M137" s="142">
        <f>COUNTIFS($H$3:H137,H137)</f>
        <v>34</v>
      </c>
      <c r="N137" s="142">
        <f>COUNTIFS(F$3:$F137,F137,H$3:$H137,H137,E$3:$E137,E137)</f>
        <v>34</v>
      </c>
      <c r="O137" s="142">
        <f>COUNTIFS($F$3:F137,F137,$H$3:H137,H137)</f>
        <v>34</v>
      </c>
    </row>
    <row r="138" spans="1:15" ht="36.6" customHeight="1">
      <c r="A138" s="28">
        <v>135</v>
      </c>
      <c r="B138" s="54"/>
      <c r="C138" s="61">
        <f>IFERROR(VLOOKUP(B138,'Runner List'!$B$3:$O$505,5,FALSE),0)</f>
        <v>0</v>
      </c>
      <c r="D138" s="129">
        <f>IFERROR(VLOOKUP(B138,'Runner List'!$B$3:$O$505,6,FALSE),0)</f>
        <v>0</v>
      </c>
      <c r="E138" s="8">
        <f>IFERROR(VLOOKUP(B138,'Runner List'!$B$3:$O$505,7,FALSE),0)</f>
        <v>0</v>
      </c>
      <c r="F138" s="25">
        <f>IFERROR(VLOOKUP(B138,'Runner List'!$B$3:$O$505,8,FALSE),0)</f>
        <v>0</v>
      </c>
      <c r="G138" s="26">
        <f>IFERROR(VLOOKUP(B138,'Runner List'!$B$3:$O$505,9,FALSE),0)</f>
        <v>0</v>
      </c>
      <c r="H138" s="25">
        <f>IFERROR(VLOOKUP(B138,'Runner List'!$B$3:$O$505,10,FALSE),0)</f>
        <v>0</v>
      </c>
      <c r="I138" s="24">
        <f>IFERROR(VLOOKUP(B138,'(2)Check In'!$B$4:$I$848,7,FALSE),0)</f>
        <v>0</v>
      </c>
      <c r="J138" s="24">
        <f>IFERROR(VLOOKUP(B138,'(2)Check In'!$B$4:$I$848,8,FALSE),0)</f>
        <v>0</v>
      </c>
      <c r="K138" s="24" t="str">
        <f t="shared" ca="1" si="7"/>
        <v/>
      </c>
      <c r="L138" s="128" t="e">
        <f t="shared" ca="1" si="8"/>
        <v>#VALUE!</v>
      </c>
      <c r="M138" s="142">
        <f>COUNTIFS($H$3:H138,H138)</f>
        <v>35</v>
      </c>
      <c r="N138" s="142">
        <f>COUNTIFS(F$3:$F138,F138,H$3:$H138,H138,E$3:$E138,E138)</f>
        <v>35</v>
      </c>
      <c r="O138" s="142">
        <f>COUNTIFS($F$3:F138,F138,$H$3:H138,H138)</f>
        <v>35</v>
      </c>
    </row>
    <row r="139" spans="1:15" ht="36.6" customHeight="1">
      <c r="A139" s="29">
        <v>136</v>
      </c>
      <c r="B139" s="54"/>
      <c r="C139" s="61">
        <f>IFERROR(VLOOKUP(B139,'Runner List'!$B$3:$O$505,5,FALSE),0)</f>
        <v>0</v>
      </c>
      <c r="D139" s="129">
        <f>IFERROR(VLOOKUP(B139,'Runner List'!$B$3:$O$505,6,FALSE),0)</f>
        <v>0</v>
      </c>
      <c r="E139" s="8">
        <f>IFERROR(VLOOKUP(B139,'Runner List'!$B$3:$O$505,7,FALSE),0)</f>
        <v>0</v>
      </c>
      <c r="F139" s="25">
        <f>IFERROR(VLOOKUP(B139,'Runner List'!$B$3:$O$505,8,FALSE),0)</f>
        <v>0</v>
      </c>
      <c r="G139" s="26">
        <f>IFERROR(VLOOKUP(B139,'Runner List'!$B$3:$O$505,9,FALSE),0)</f>
        <v>0</v>
      </c>
      <c r="H139" s="25">
        <f>IFERROR(VLOOKUP(B139,'Runner List'!$B$3:$O$505,10,FALSE),0)</f>
        <v>0</v>
      </c>
      <c r="I139" s="24">
        <f>IFERROR(VLOOKUP(B139,'(2)Check In'!$B$4:$I$848,7,FALSE),0)</f>
        <v>0</v>
      </c>
      <c r="J139" s="24">
        <f>IFERROR(VLOOKUP(B139,'(2)Check In'!$B$4:$I$848,8,FALSE),0)</f>
        <v>0</v>
      </c>
      <c r="K139" s="24" t="str">
        <f t="shared" ca="1" si="7"/>
        <v/>
      </c>
      <c r="L139" s="127" t="e">
        <f t="shared" ca="1" si="8"/>
        <v>#VALUE!</v>
      </c>
      <c r="M139" s="142">
        <f>COUNTIFS($H$3:H139,H139)</f>
        <v>36</v>
      </c>
      <c r="N139" s="142">
        <f>COUNTIFS(F$3:$F139,F139,H$3:$H139,H139,E$3:$E139,E139)</f>
        <v>36</v>
      </c>
      <c r="O139" s="142">
        <f>COUNTIFS($F$3:F139,F139,$H$3:H139,H139)</f>
        <v>36</v>
      </c>
    </row>
    <row r="140" spans="1:15" ht="36.6" customHeight="1">
      <c r="A140" s="28">
        <v>137</v>
      </c>
      <c r="B140" s="54"/>
      <c r="C140" s="61">
        <f>IFERROR(VLOOKUP(B140,'Runner List'!$B$3:$O$505,5,FALSE),0)</f>
        <v>0</v>
      </c>
      <c r="D140" s="129">
        <f>IFERROR(VLOOKUP(B140,'Runner List'!$B$3:$O$505,6,FALSE),0)</f>
        <v>0</v>
      </c>
      <c r="E140" s="8">
        <f>IFERROR(VLOOKUP(B140,'Runner List'!$B$3:$O$505,7,FALSE),0)</f>
        <v>0</v>
      </c>
      <c r="F140" s="25">
        <f>IFERROR(VLOOKUP(B140,'Runner List'!$B$3:$O$505,8,FALSE),0)</f>
        <v>0</v>
      </c>
      <c r="G140" s="26">
        <f>IFERROR(VLOOKUP(B140,'Runner List'!$B$3:$O$505,9,FALSE),0)</f>
        <v>0</v>
      </c>
      <c r="H140" s="25">
        <f>IFERROR(VLOOKUP(B140,'Runner List'!$B$3:$O$505,10,FALSE),0)</f>
        <v>0</v>
      </c>
      <c r="I140" s="24">
        <f>IFERROR(VLOOKUP(B140,'(2)Check In'!$B$4:$I$848,7,FALSE),0)</f>
        <v>0</v>
      </c>
      <c r="J140" s="24">
        <f>IFERROR(VLOOKUP(B140,'(2)Check In'!$B$4:$I$848,8,FALSE),0)</f>
        <v>0</v>
      </c>
      <c r="K140" s="24" t="str">
        <f t="shared" ca="1" si="7"/>
        <v/>
      </c>
      <c r="L140" s="128" t="e">
        <f t="shared" ca="1" si="8"/>
        <v>#VALUE!</v>
      </c>
      <c r="M140" s="142">
        <f>COUNTIFS($H$3:H140,H140)</f>
        <v>37</v>
      </c>
      <c r="N140" s="142">
        <f>COUNTIFS(F$3:$F140,F140,H$3:$H140,H140,E$3:$E140,E140)</f>
        <v>37</v>
      </c>
      <c r="O140" s="142">
        <f>COUNTIFS($F$3:F140,F140,$H$3:H140,H140)</f>
        <v>37</v>
      </c>
    </row>
    <row r="141" spans="1:15" ht="36.6" customHeight="1">
      <c r="A141" s="29">
        <v>138</v>
      </c>
      <c r="B141" s="54"/>
      <c r="C141" s="61">
        <f>IFERROR(VLOOKUP(B141,'Runner List'!$B$3:$O$505,5,FALSE),0)</f>
        <v>0</v>
      </c>
      <c r="D141" s="129">
        <f>IFERROR(VLOOKUP(B141,'Runner List'!$B$3:$O$505,6,FALSE),0)</f>
        <v>0</v>
      </c>
      <c r="E141" s="8">
        <f>IFERROR(VLOOKUP(B141,'Runner List'!$B$3:$O$505,7,FALSE),0)</f>
        <v>0</v>
      </c>
      <c r="F141" s="25">
        <f>IFERROR(VLOOKUP(B141,'Runner List'!$B$3:$O$505,8,FALSE),0)</f>
        <v>0</v>
      </c>
      <c r="G141" s="26">
        <f>IFERROR(VLOOKUP(B141,'Runner List'!$B$3:$O$505,9,FALSE),0)</f>
        <v>0</v>
      </c>
      <c r="H141" s="25">
        <f>IFERROR(VLOOKUP(B141,'Runner List'!$B$3:$O$505,10,FALSE),0)</f>
        <v>0</v>
      </c>
      <c r="I141" s="24">
        <f>IFERROR(VLOOKUP(B141,'(2)Check In'!$B$4:$I$848,7,FALSE),0)</f>
        <v>0</v>
      </c>
      <c r="J141" s="24">
        <f>IFERROR(VLOOKUP(B141,'(2)Check In'!$B$4:$I$848,8,FALSE),0)</f>
        <v>0</v>
      </c>
      <c r="K141" s="24" t="str">
        <f t="shared" ca="1" si="7"/>
        <v/>
      </c>
      <c r="L141" s="127" t="e">
        <f t="shared" ca="1" si="8"/>
        <v>#VALUE!</v>
      </c>
      <c r="M141" s="142">
        <f>COUNTIFS($H$3:H141,H141)</f>
        <v>38</v>
      </c>
      <c r="N141" s="142">
        <f>COUNTIFS(F$3:$F141,F141,H$3:$H141,H141,E$3:$E141,E141)</f>
        <v>38</v>
      </c>
      <c r="O141" s="142">
        <f>COUNTIFS($F$3:F141,F141,$H$3:H141,H141)</f>
        <v>38</v>
      </c>
    </row>
    <row r="142" spans="1:15" ht="36.6" customHeight="1">
      <c r="A142" s="28">
        <v>139</v>
      </c>
      <c r="B142" s="54"/>
      <c r="C142" s="61">
        <f>IFERROR(VLOOKUP(B142,'Runner List'!$B$3:$O$505,5,FALSE),0)</f>
        <v>0</v>
      </c>
      <c r="D142" s="129">
        <f>IFERROR(VLOOKUP(B142,'Runner List'!$B$3:$O$505,6,FALSE),0)</f>
        <v>0</v>
      </c>
      <c r="E142" s="8">
        <f>IFERROR(VLOOKUP(B142,'Runner List'!$B$3:$O$505,7,FALSE),0)</f>
        <v>0</v>
      </c>
      <c r="F142" s="25">
        <f>IFERROR(VLOOKUP(B142,'Runner List'!$B$3:$O$505,8,FALSE),0)</f>
        <v>0</v>
      </c>
      <c r="G142" s="26">
        <f>IFERROR(VLOOKUP(B142,'Runner List'!$B$3:$O$505,9,FALSE),0)</f>
        <v>0</v>
      </c>
      <c r="H142" s="25">
        <f>IFERROR(VLOOKUP(B142,'Runner List'!$B$3:$O$505,10,FALSE),0)</f>
        <v>0</v>
      </c>
      <c r="I142" s="24">
        <f>IFERROR(VLOOKUP(B142,'(2)Check In'!$B$4:$I$848,7,FALSE),0)</f>
        <v>0</v>
      </c>
      <c r="J142" s="24">
        <f>IFERROR(VLOOKUP(B142,'(2)Check In'!$B$4:$I$848,8,FALSE),0)</f>
        <v>0</v>
      </c>
      <c r="K142" s="24" t="str">
        <f t="shared" ca="1" si="7"/>
        <v/>
      </c>
      <c r="L142" s="128" t="e">
        <f t="shared" ca="1" si="8"/>
        <v>#VALUE!</v>
      </c>
      <c r="M142" s="142">
        <f>COUNTIFS($H$3:H142,H142)</f>
        <v>39</v>
      </c>
      <c r="N142" s="142">
        <f>COUNTIFS(F$3:$F142,F142,H$3:$H142,H142,E$3:$E142,E142)</f>
        <v>39</v>
      </c>
      <c r="O142" s="142">
        <f>COUNTIFS($F$3:F142,F142,$H$3:H142,H142)</f>
        <v>39</v>
      </c>
    </row>
    <row r="143" spans="1:15" ht="36.6" customHeight="1">
      <c r="A143" s="29">
        <v>140</v>
      </c>
      <c r="B143" s="54"/>
      <c r="C143" s="61">
        <f>IFERROR(VLOOKUP(B143,'Runner List'!$B$3:$O$505,5,FALSE),0)</f>
        <v>0</v>
      </c>
      <c r="D143" s="129">
        <f>IFERROR(VLOOKUP(B143,'Runner List'!$B$3:$O$505,6,FALSE),0)</f>
        <v>0</v>
      </c>
      <c r="E143" s="8">
        <f>IFERROR(VLOOKUP(B143,'Runner List'!$B$3:$O$505,7,FALSE),0)</f>
        <v>0</v>
      </c>
      <c r="F143" s="25">
        <f>IFERROR(VLOOKUP(B143,'Runner List'!$B$3:$O$505,8,FALSE),0)</f>
        <v>0</v>
      </c>
      <c r="G143" s="26">
        <f>IFERROR(VLOOKUP(B143,'Runner List'!$B$3:$O$505,9,FALSE),0)</f>
        <v>0</v>
      </c>
      <c r="H143" s="25">
        <f>IFERROR(VLOOKUP(B143,'Runner List'!$B$3:$O$505,10,FALSE),0)</f>
        <v>0</v>
      </c>
      <c r="I143" s="24">
        <f>IFERROR(VLOOKUP(B143,'(2)Check In'!$B$4:$I$848,7,FALSE),0)</f>
        <v>0</v>
      </c>
      <c r="J143" s="24">
        <f>IFERROR(VLOOKUP(B143,'(2)Check In'!$B$4:$I$848,8,FALSE),0)</f>
        <v>0</v>
      </c>
      <c r="K143" s="24" t="str">
        <f t="shared" ca="1" si="7"/>
        <v/>
      </c>
      <c r="L143" s="127" t="e">
        <f t="shared" ca="1" si="8"/>
        <v>#VALUE!</v>
      </c>
      <c r="M143" s="142">
        <f>COUNTIFS($H$3:H143,H143)</f>
        <v>40</v>
      </c>
      <c r="N143" s="142">
        <f>COUNTIFS(F$3:$F143,F143,H$3:$H143,H143,E$3:$E143,E143)</f>
        <v>40</v>
      </c>
      <c r="O143" s="142">
        <f>COUNTIFS($F$3:F143,F143,$H$3:H143,H143)</f>
        <v>40</v>
      </c>
    </row>
    <row r="144" spans="1:15" ht="36.6" customHeight="1">
      <c r="A144" s="28">
        <v>141</v>
      </c>
      <c r="B144" s="54"/>
      <c r="C144" s="61">
        <f>IFERROR(VLOOKUP(B144,'Runner List'!$B$3:$O$505,5,FALSE),0)</f>
        <v>0</v>
      </c>
      <c r="D144" s="129">
        <f>IFERROR(VLOOKUP(B144,'Runner List'!$B$3:$O$505,6,FALSE),0)</f>
        <v>0</v>
      </c>
      <c r="E144" s="8">
        <f>IFERROR(VLOOKUP(B144,'Runner List'!$B$3:$O$505,7,FALSE),0)</f>
        <v>0</v>
      </c>
      <c r="F144" s="25">
        <f>IFERROR(VLOOKUP(B144,'Runner List'!$B$3:$O$505,8,FALSE),0)</f>
        <v>0</v>
      </c>
      <c r="G144" s="26">
        <f>IFERROR(VLOOKUP(B144,'Runner List'!$B$3:$O$505,9,FALSE),0)</f>
        <v>0</v>
      </c>
      <c r="H144" s="25">
        <f>IFERROR(VLOOKUP(B144,'Runner List'!$B$3:$O$505,10,FALSE),0)</f>
        <v>0</v>
      </c>
      <c r="I144" s="24">
        <f>IFERROR(VLOOKUP(B144,'(2)Check In'!$B$4:$I$848,7,FALSE),0)</f>
        <v>0</v>
      </c>
      <c r="J144" s="24">
        <f>IFERROR(VLOOKUP(B144,'(2)Check In'!$B$4:$I$848,8,FALSE),0)</f>
        <v>0</v>
      </c>
      <c r="K144" s="24" t="str">
        <f t="shared" ca="1" si="7"/>
        <v/>
      </c>
      <c r="L144" s="128" t="e">
        <f t="shared" ca="1" si="8"/>
        <v>#VALUE!</v>
      </c>
      <c r="M144" s="142">
        <f>COUNTIFS($H$3:H144,H144)</f>
        <v>41</v>
      </c>
      <c r="N144" s="142">
        <f>COUNTIFS(F$3:$F144,F144,H$3:$H144,H144,E$3:$E144,E144)</f>
        <v>41</v>
      </c>
      <c r="O144" s="142">
        <f>COUNTIFS($F$3:F144,F144,$H$3:H144,H144)</f>
        <v>41</v>
      </c>
    </row>
    <row r="145" spans="1:15" ht="36.6" customHeight="1">
      <c r="A145" s="29">
        <v>142</v>
      </c>
      <c r="B145" s="54"/>
      <c r="C145" s="61">
        <f>IFERROR(VLOOKUP(B145,'Runner List'!$B$3:$O$505,5,FALSE),0)</f>
        <v>0</v>
      </c>
      <c r="D145" s="129">
        <f>IFERROR(VLOOKUP(B145,'Runner List'!$B$3:$O$505,6,FALSE),0)</f>
        <v>0</v>
      </c>
      <c r="E145" s="8">
        <f>IFERROR(VLOOKUP(B145,'Runner List'!$B$3:$O$505,7,FALSE),0)</f>
        <v>0</v>
      </c>
      <c r="F145" s="25">
        <f>IFERROR(VLOOKUP(B145,'Runner List'!$B$3:$O$505,8,FALSE),0)</f>
        <v>0</v>
      </c>
      <c r="G145" s="26">
        <f>IFERROR(VLOOKUP(B145,'Runner List'!$B$3:$O$505,9,FALSE),0)</f>
        <v>0</v>
      </c>
      <c r="H145" s="25">
        <f>IFERROR(VLOOKUP(B145,'Runner List'!$B$3:$O$505,10,FALSE),0)</f>
        <v>0</v>
      </c>
      <c r="I145" s="24">
        <f>IFERROR(VLOOKUP(B145,'(2)Check In'!$B$4:$I$848,7,FALSE),0)</f>
        <v>0</v>
      </c>
      <c r="J145" s="24">
        <f>IFERROR(VLOOKUP(B145,'(2)Check In'!$B$4:$I$848,8,FALSE),0)</f>
        <v>0</v>
      </c>
      <c r="K145" s="24" t="str">
        <f t="shared" ca="1" si="7"/>
        <v/>
      </c>
      <c r="L145" s="127" t="e">
        <f t="shared" ref="L145:L151" ca="1" si="9">K145-J145</f>
        <v>#VALUE!</v>
      </c>
      <c r="M145" s="142">
        <f>COUNTIFS($H$3:H145,H145)</f>
        <v>42</v>
      </c>
      <c r="N145" s="142">
        <f>COUNTIFS(F$3:$F145,F145,H$3:$H145,H145,E$3:$E145,E145)</f>
        <v>42</v>
      </c>
      <c r="O145" s="142">
        <f>COUNTIFS($F$3:F145,F145,$H$3:H145,H145)</f>
        <v>42</v>
      </c>
    </row>
    <row r="146" spans="1:15" ht="36.6" customHeight="1">
      <c r="A146" s="28">
        <v>143</v>
      </c>
      <c r="B146" s="54"/>
      <c r="C146" s="61">
        <f>IFERROR(VLOOKUP(B146,'Runner List'!$B$3:$O$505,5,FALSE),0)</f>
        <v>0</v>
      </c>
      <c r="D146" s="129">
        <f>IFERROR(VLOOKUP(B146,'Runner List'!$B$3:$O$505,6,FALSE),0)</f>
        <v>0</v>
      </c>
      <c r="E146" s="8">
        <f>IFERROR(VLOOKUP(B146,'Runner List'!$B$3:$O$505,7,FALSE),0)</f>
        <v>0</v>
      </c>
      <c r="F146" s="25">
        <f>IFERROR(VLOOKUP(B146,'Runner List'!$B$3:$O$505,8,FALSE),0)</f>
        <v>0</v>
      </c>
      <c r="G146" s="26">
        <f>IFERROR(VLOOKUP(B146,'Runner List'!$B$3:$O$505,9,FALSE),0)</f>
        <v>0</v>
      </c>
      <c r="H146" s="25">
        <f>IFERROR(VLOOKUP(B146,'Runner List'!$B$3:$O$505,10,FALSE),0)</f>
        <v>0</v>
      </c>
      <c r="I146" s="24">
        <f>IFERROR(VLOOKUP(B146,'(2)Check In'!$B$4:$I$848,7,FALSE),0)</f>
        <v>0</v>
      </c>
      <c r="J146" s="24">
        <f>IFERROR(VLOOKUP(B146,'(2)Check In'!$B$4:$I$848,8,FALSE),0)</f>
        <v>0</v>
      </c>
      <c r="K146" s="24" t="str">
        <f t="shared" ca="1" si="7"/>
        <v/>
      </c>
      <c r="L146" s="128" t="e">
        <f t="shared" ca="1" si="9"/>
        <v>#VALUE!</v>
      </c>
      <c r="M146" s="142">
        <f>COUNTIFS($H$3:H146,H146)</f>
        <v>43</v>
      </c>
      <c r="N146" s="142">
        <f>COUNTIFS(F$3:$F146,F146,H$3:$H146,H146,E$3:$E146,E146)</f>
        <v>43</v>
      </c>
      <c r="O146" s="142">
        <f>COUNTIFS($F$3:F146,F146,$H$3:H146,H146)</f>
        <v>43</v>
      </c>
    </row>
    <row r="147" spans="1:15" ht="36.6" customHeight="1">
      <c r="A147" s="29">
        <v>144</v>
      </c>
      <c r="B147" s="54"/>
      <c r="C147" s="61">
        <f>IFERROR(VLOOKUP(B147,'Runner List'!$B$3:$O$505,5,FALSE),0)</f>
        <v>0</v>
      </c>
      <c r="D147" s="129">
        <f>IFERROR(VLOOKUP(B147,'Runner List'!$B$3:$O$505,6,FALSE),0)</f>
        <v>0</v>
      </c>
      <c r="E147" s="8">
        <f>IFERROR(VLOOKUP(B147,'Runner List'!$B$3:$O$505,7,FALSE),0)</f>
        <v>0</v>
      </c>
      <c r="F147" s="25">
        <f>IFERROR(VLOOKUP(B147,'Runner List'!$B$3:$O$505,8,FALSE),0)</f>
        <v>0</v>
      </c>
      <c r="G147" s="26">
        <f>IFERROR(VLOOKUP(B147,'Runner List'!$B$3:$O$505,9,FALSE),0)</f>
        <v>0</v>
      </c>
      <c r="H147" s="25">
        <f>IFERROR(VLOOKUP(B147,'Runner List'!$B$3:$O$505,10,FALSE),0)</f>
        <v>0</v>
      </c>
      <c r="I147" s="24">
        <f>IFERROR(VLOOKUP(B147,'(2)Check In'!$B$4:$I$848,7,FALSE),0)</f>
        <v>0</v>
      </c>
      <c r="J147" s="24">
        <f>IFERROR(VLOOKUP(B147,'(2)Check In'!$B$4:$I$848,8,FALSE),0)</f>
        <v>0</v>
      </c>
      <c r="K147" s="24" t="str">
        <f t="shared" ca="1" si="7"/>
        <v/>
      </c>
      <c r="L147" s="127" t="e">
        <f t="shared" ca="1" si="9"/>
        <v>#VALUE!</v>
      </c>
      <c r="M147" s="142">
        <f>COUNTIFS($H$3:H147,H147)</f>
        <v>44</v>
      </c>
      <c r="N147" s="142">
        <f>COUNTIFS(F$3:$F147,F147,H$3:$H147,H147,E$3:$E147,E147)</f>
        <v>44</v>
      </c>
      <c r="O147" s="142">
        <f>COUNTIFS($F$3:F147,F147,$H$3:H147,H147)</f>
        <v>44</v>
      </c>
    </row>
    <row r="148" spans="1:15" ht="36.6" customHeight="1">
      <c r="A148" s="28">
        <v>145</v>
      </c>
      <c r="B148" s="54"/>
      <c r="C148" s="61">
        <f>IFERROR(VLOOKUP(B148,'Runner List'!$B$3:$O$505,5,FALSE),0)</f>
        <v>0</v>
      </c>
      <c r="D148" s="129">
        <f>IFERROR(VLOOKUP(B148,'Runner List'!$B$3:$O$505,6,FALSE),0)</f>
        <v>0</v>
      </c>
      <c r="E148" s="8">
        <f>IFERROR(VLOOKUP(B148,'Runner List'!$B$3:$O$505,7,FALSE),0)</f>
        <v>0</v>
      </c>
      <c r="F148" s="25">
        <f>IFERROR(VLOOKUP(B148,'Runner List'!$B$3:$O$505,8,FALSE),0)</f>
        <v>0</v>
      </c>
      <c r="G148" s="26">
        <f>IFERROR(VLOOKUP(B148,'Runner List'!$B$3:$O$505,9,FALSE),0)</f>
        <v>0</v>
      </c>
      <c r="H148" s="25">
        <f>IFERROR(VLOOKUP(B148,'Runner List'!$B$3:$O$505,10,FALSE),0)</f>
        <v>0</v>
      </c>
      <c r="I148" s="24">
        <f>IFERROR(VLOOKUP(B148,'(2)Check In'!$B$4:$I$848,7,FALSE),0)</f>
        <v>0</v>
      </c>
      <c r="J148" s="24">
        <f>IFERROR(VLOOKUP(B148,'(2)Check In'!$B$4:$I$848,8,FALSE),0)</f>
        <v>0</v>
      </c>
      <c r="K148" s="24" t="str">
        <f t="shared" ca="1" si="7"/>
        <v/>
      </c>
      <c r="L148" s="128" t="e">
        <f t="shared" ca="1" si="9"/>
        <v>#VALUE!</v>
      </c>
      <c r="M148" s="142">
        <f>COUNTIFS($H$3:H148,H148)</f>
        <v>45</v>
      </c>
      <c r="N148" s="142">
        <f>COUNTIFS(F$3:$F148,F148,H$3:$H148,H148,E$3:$E148,E148)</f>
        <v>45</v>
      </c>
      <c r="O148" s="142">
        <f>COUNTIFS($F$3:F148,F148,$H$3:H148,H148)</f>
        <v>45</v>
      </c>
    </row>
    <row r="149" spans="1:15" ht="36.6" customHeight="1">
      <c r="A149" s="29">
        <v>146</v>
      </c>
      <c r="B149" s="54"/>
      <c r="C149" s="61">
        <f>IFERROR(VLOOKUP(B149,'Runner List'!$B$3:$O$505,5,FALSE),0)</f>
        <v>0</v>
      </c>
      <c r="D149" s="129">
        <f>IFERROR(VLOOKUP(B149,'Runner List'!$B$3:$O$505,6,FALSE),0)</f>
        <v>0</v>
      </c>
      <c r="E149" s="8">
        <f>IFERROR(VLOOKUP(B149,'Runner List'!$B$3:$O$505,7,FALSE),0)</f>
        <v>0</v>
      </c>
      <c r="F149" s="25">
        <f>IFERROR(VLOOKUP(B149,'Runner List'!$B$3:$O$505,8,FALSE),0)</f>
        <v>0</v>
      </c>
      <c r="G149" s="26">
        <f>IFERROR(VLOOKUP(B149,'Runner List'!$B$3:$O$505,9,FALSE),0)</f>
        <v>0</v>
      </c>
      <c r="H149" s="25">
        <f>IFERROR(VLOOKUP(B149,'Runner List'!$B$3:$O$505,10,FALSE),0)</f>
        <v>0</v>
      </c>
      <c r="I149" s="24">
        <f>IFERROR(VLOOKUP(B149,'(2)Check In'!$B$4:$I$848,7,FALSE),0)</f>
        <v>0</v>
      </c>
      <c r="J149" s="24">
        <f>IFERROR(VLOOKUP(B149,'(2)Check In'!$B$4:$I$848,8,FALSE),0)</f>
        <v>0</v>
      </c>
      <c r="K149" s="24" t="str">
        <f t="shared" ca="1" si="7"/>
        <v/>
      </c>
      <c r="L149" s="127" t="e">
        <f t="shared" ca="1" si="9"/>
        <v>#VALUE!</v>
      </c>
      <c r="M149" s="142">
        <f>COUNTIFS($H$3:H149,H149)</f>
        <v>46</v>
      </c>
      <c r="N149" s="142">
        <f>COUNTIFS(F$3:$F149,F149,H$3:$H149,H149,E$3:$E149,E149)</f>
        <v>46</v>
      </c>
      <c r="O149" s="142">
        <f>COUNTIFS($F$3:F149,F149,$H$3:H149,H149)</f>
        <v>46</v>
      </c>
    </row>
    <row r="150" spans="1:15" ht="36.6" customHeight="1">
      <c r="A150" s="28">
        <v>147</v>
      </c>
      <c r="B150" s="54"/>
      <c r="C150" s="61">
        <f>IFERROR(VLOOKUP(B150,'Runner List'!$B$3:$O$505,5,FALSE),0)</f>
        <v>0</v>
      </c>
      <c r="D150" s="129">
        <f>IFERROR(VLOOKUP(B150,'Runner List'!$B$3:$O$505,6,FALSE),0)</f>
        <v>0</v>
      </c>
      <c r="E150" s="8">
        <f>IFERROR(VLOOKUP(B150,'Runner List'!$B$3:$O$505,7,FALSE),0)</f>
        <v>0</v>
      </c>
      <c r="F150" s="25">
        <f>IFERROR(VLOOKUP(B150,'Runner List'!$B$3:$O$505,8,FALSE),0)</f>
        <v>0</v>
      </c>
      <c r="G150" s="26">
        <f>IFERROR(VLOOKUP(B150,'Runner List'!$B$3:$O$505,9,FALSE),0)</f>
        <v>0</v>
      </c>
      <c r="H150" s="25">
        <f>IFERROR(VLOOKUP(B150,'Runner List'!$B$3:$O$505,10,FALSE),0)</f>
        <v>0</v>
      </c>
      <c r="I150" s="24">
        <f>IFERROR(VLOOKUP(B150,'(2)Check In'!$B$4:$I$848,7,FALSE),0)</f>
        <v>0</v>
      </c>
      <c r="J150" s="24">
        <f>IFERROR(VLOOKUP(B150,'(2)Check In'!$B$4:$I$848,8,FALSE),0)</f>
        <v>0</v>
      </c>
      <c r="K150" s="24" t="str">
        <f t="shared" ca="1" si="7"/>
        <v/>
      </c>
      <c r="L150" s="128" t="e">
        <f t="shared" ca="1" si="9"/>
        <v>#VALUE!</v>
      </c>
      <c r="M150" s="142">
        <f>COUNTIFS($H$3:H150,H150)</f>
        <v>47</v>
      </c>
      <c r="N150" s="142">
        <f>COUNTIFS(F$3:$F150,F150,H$3:$H150,H150,E$3:$E150,E150)</f>
        <v>47</v>
      </c>
      <c r="O150" s="142">
        <f>COUNTIFS($F$3:F150,F150,$H$3:H150,H150)</f>
        <v>47</v>
      </c>
    </row>
    <row r="151" spans="1:15" ht="36.6" customHeight="1">
      <c r="A151" s="29">
        <v>148</v>
      </c>
      <c r="B151" s="54"/>
      <c r="C151" s="61">
        <f>IFERROR(VLOOKUP(B151,'Runner List'!$B$3:$O$505,5,FALSE),0)</f>
        <v>0</v>
      </c>
      <c r="D151" s="129">
        <f>IFERROR(VLOOKUP(B151,'Runner List'!$B$3:$O$505,6,FALSE),0)</f>
        <v>0</v>
      </c>
      <c r="E151" s="8">
        <f>IFERROR(VLOOKUP(B151,'Runner List'!$B$3:$O$505,7,FALSE),0)</f>
        <v>0</v>
      </c>
      <c r="F151" s="25">
        <f>IFERROR(VLOOKUP(B151,'Runner List'!$B$3:$O$505,8,FALSE),0)</f>
        <v>0</v>
      </c>
      <c r="G151" s="26">
        <f>IFERROR(VLOOKUP(B151,'Runner List'!$B$3:$O$505,9,FALSE),0)</f>
        <v>0</v>
      </c>
      <c r="H151" s="25">
        <f>IFERROR(VLOOKUP(B151,'Runner List'!$B$3:$O$505,10,FALSE),0)</f>
        <v>0</v>
      </c>
      <c r="I151" s="24">
        <f>IFERROR(VLOOKUP(B151,'(2)Check In'!$B$4:$I$848,7,FALSE),0)</f>
        <v>0</v>
      </c>
      <c r="J151" s="24">
        <f>IFERROR(VLOOKUP(B151,'(2)Check In'!$B$4:$I$848,8,FALSE),0)</f>
        <v>0</v>
      </c>
      <c r="K151" s="24" t="str">
        <f t="shared" ca="1" si="7"/>
        <v/>
      </c>
      <c r="L151" s="127" t="e">
        <f t="shared" ca="1" si="9"/>
        <v>#VALUE!</v>
      </c>
      <c r="M151" s="142">
        <f>COUNTIFS($H$3:H151,H151)</f>
        <v>48</v>
      </c>
      <c r="N151" s="142">
        <f>COUNTIFS(F$3:$F151,F151,H$3:$H151,H151,E$3:$E151,E151)</f>
        <v>48</v>
      </c>
      <c r="O151" s="142">
        <f>COUNTIFS($F$3:F151,F151,$H$3:H151,H151)</f>
        <v>48</v>
      </c>
    </row>
    <row r="152" spans="1:15" ht="36.6">
      <c r="A152" s="28">
        <v>149</v>
      </c>
      <c r="B152" s="54"/>
      <c r="C152" s="61">
        <f>IFERROR(VLOOKUP(B152,'Runner List'!$B$3:$O$505,5,FALSE),0)</f>
        <v>0</v>
      </c>
      <c r="D152" s="129">
        <f>IFERROR(VLOOKUP(B152,'Runner List'!$B$3:$O$505,6,FALSE),0)</f>
        <v>0</v>
      </c>
      <c r="E152" s="8">
        <f>IFERROR(VLOOKUP(B152,'Runner List'!$B$3:$O$505,7,FALSE),0)</f>
        <v>0</v>
      </c>
      <c r="F152" s="25">
        <f>IFERROR(VLOOKUP(B152,'Runner List'!$B$3:$O$505,8,FALSE),0)</f>
        <v>0</v>
      </c>
      <c r="G152" s="26">
        <f>IFERROR(VLOOKUP(B152,'Runner List'!$B$3:$O$505,9,FALSE),0)</f>
        <v>0</v>
      </c>
      <c r="H152" s="25">
        <f>IFERROR(VLOOKUP(B152,'Runner List'!$B$3:$O$505,10,FALSE),0)</f>
        <v>0</v>
      </c>
      <c r="I152" s="24">
        <f>IFERROR(VLOOKUP(B152,'(2)Check In'!$B$4:$I$848,7,FALSE),0)</f>
        <v>0</v>
      </c>
      <c r="J152" s="24">
        <f>IFERROR(VLOOKUP(B152,'(2)Check In'!$B$4:$I$848,8,FALSE),0)</f>
        <v>0</v>
      </c>
      <c r="K152" s="24" t="str">
        <f t="shared" ref="K152:K183" ca="1" si="10">IF(B152="","",IF(K152="",NOW(),K152))</f>
        <v/>
      </c>
      <c r="L152" s="128" t="e">
        <f t="shared" ref="L152:L183" ca="1" si="11">K152-J152</f>
        <v>#VALUE!</v>
      </c>
      <c r="M152" s="142">
        <f>COUNTIFS($H$3:H152,H152)</f>
        <v>49</v>
      </c>
      <c r="N152" s="142">
        <f>COUNTIFS(F$3:$F152,F152,H$3:$H152,H152,E$3:$E152,E152)</f>
        <v>49</v>
      </c>
      <c r="O152" s="142">
        <f>COUNTIFS($F$3:F152,F152,$H$3:H152,H152)</f>
        <v>49</v>
      </c>
    </row>
    <row r="153" spans="1:15" ht="36.6">
      <c r="A153" s="29">
        <v>150</v>
      </c>
      <c r="B153" s="54"/>
      <c r="C153" s="61">
        <f>IFERROR(VLOOKUP(B153,'Runner List'!$B$3:$O$505,5,FALSE),0)</f>
        <v>0</v>
      </c>
      <c r="D153" s="129">
        <f>IFERROR(VLOOKUP(B153,'Runner List'!$B$3:$O$505,6,FALSE),0)</f>
        <v>0</v>
      </c>
      <c r="E153" s="8">
        <f>IFERROR(VLOOKUP(B153,'Runner List'!$B$3:$O$505,7,FALSE),0)</f>
        <v>0</v>
      </c>
      <c r="F153" s="25">
        <f>IFERROR(VLOOKUP(B153,'Runner List'!$B$3:$O$505,8,FALSE),0)</f>
        <v>0</v>
      </c>
      <c r="G153" s="26">
        <f>IFERROR(VLOOKUP(B153,'Runner List'!$B$3:$O$505,9,FALSE),0)</f>
        <v>0</v>
      </c>
      <c r="H153" s="25">
        <f>IFERROR(VLOOKUP(B153,'Runner List'!$B$3:$O$505,10,FALSE),0)</f>
        <v>0</v>
      </c>
      <c r="I153" s="24">
        <f>IFERROR(VLOOKUP(B153,'(2)Check In'!$B$4:$I$848,7,FALSE),0)</f>
        <v>0</v>
      </c>
      <c r="J153" s="24">
        <f>IFERROR(VLOOKUP(B153,'(2)Check In'!$B$4:$I$848,8,FALSE),0)</f>
        <v>0</v>
      </c>
      <c r="K153" s="24" t="str">
        <f t="shared" ca="1" si="10"/>
        <v/>
      </c>
      <c r="L153" s="127" t="e">
        <f t="shared" ca="1" si="11"/>
        <v>#VALUE!</v>
      </c>
      <c r="M153" s="142">
        <f>COUNTIFS($H$3:H153,H153)</f>
        <v>50</v>
      </c>
      <c r="N153" s="142">
        <f>COUNTIFS(F$3:$F153,F153,H$3:$H153,H153,E$3:$E153,E153)</f>
        <v>50</v>
      </c>
      <c r="O153" s="142">
        <f>COUNTIFS($F$3:F153,F153,$H$3:H153,H153)</f>
        <v>50</v>
      </c>
    </row>
    <row r="154" spans="1:15" ht="36.6">
      <c r="A154" s="28">
        <v>151</v>
      </c>
      <c r="B154" s="54"/>
      <c r="C154" s="61">
        <f>IFERROR(VLOOKUP(B154,'Runner List'!$B$3:$O$505,5,FALSE),0)</f>
        <v>0</v>
      </c>
      <c r="D154" s="129">
        <f>IFERROR(VLOOKUP(B154,'Runner List'!$B$3:$O$505,6,FALSE),0)</f>
        <v>0</v>
      </c>
      <c r="E154" s="8">
        <f>IFERROR(VLOOKUP(B154,'Runner List'!$B$3:$O$505,7,FALSE),0)</f>
        <v>0</v>
      </c>
      <c r="F154" s="25">
        <f>IFERROR(VLOOKUP(B154,'Runner List'!$B$3:$O$505,8,FALSE),0)</f>
        <v>0</v>
      </c>
      <c r="G154" s="26">
        <f>IFERROR(VLOOKUP(B154,'Runner List'!$B$3:$O$505,9,FALSE),0)</f>
        <v>0</v>
      </c>
      <c r="H154" s="25">
        <f>IFERROR(VLOOKUP(B154,'Runner List'!$B$3:$O$505,10,FALSE),0)</f>
        <v>0</v>
      </c>
      <c r="I154" s="24">
        <f>IFERROR(VLOOKUP(B154,'(2)Check In'!$B$4:$I$848,7,FALSE),0)</f>
        <v>0</v>
      </c>
      <c r="J154" s="24">
        <f>IFERROR(VLOOKUP(B154,'(2)Check In'!$B$4:$I$848,8,FALSE),0)</f>
        <v>0</v>
      </c>
      <c r="K154" s="24" t="str">
        <f t="shared" ca="1" si="10"/>
        <v/>
      </c>
      <c r="L154" s="128" t="e">
        <f t="shared" ca="1" si="11"/>
        <v>#VALUE!</v>
      </c>
      <c r="M154" s="142">
        <f>COUNTIFS($H$3:H154,H154)</f>
        <v>51</v>
      </c>
      <c r="N154" s="142">
        <f>COUNTIFS(F$3:$F154,F154,H$3:$H154,H154,E$3:$E154,E154)</f>
        <v>51</v>
      </c>
      <c r="O154" s="142">
        <f>COUNTIFS($F$3:F154,F154,$H$3:H154,H154)</f>
        <v>51</v>
      </c>
    </row>
    <row r="155" spans="1:15" ht="36.6">
      <c r="A155" s="29">
        <v>152</v>
      </c>
      <c r="B155" s="54"/>
      <c r="C155" s="61">
        <f>IFERROR(VLOOKUP(B155,'Runner List'!$B$3:$O$505,5,FALSE),0)</f>
        <v>0</v>
      </c>
      <c r="D155" s="129">
        <f>IFERROR(VLOOKUP(B155,'Runner List'!$B$3:$O$505,6,FALSE),0)</f>
        <v>0</v>
      </c>
      <c r="E155" s="8">
        <f>IFERROR(VLOOKUP(B155,'Runner List'!$B$3:$O$505,7,FALSE),0)</f>
        <v>0</v>
      </c>
      <c r="F155" s="25">
        <f>IFERROR(VLOOKUP(B155,'Runner List'!$B$3:$O$505,8,FALSE),0)</f>
        <v>0</v>
      </c>
      <c r="G155" s="26">
        <f>IFERROR(VLOOKUP(B155,'Runner List'!$B$3:$O$505,9,FALSE),0)</f>
        <v>0</v>
      </c>
      <c r="H155" s="25">
        <f>IFERROR(VLOOKUP(B155,'Runner List'!$B$3:$O$505,10,FALSE),0)</f>
        <v>0</v>
      </c>
      <c r="I155" s="24">
        <f>IFERROR(VLOOKUP(B155,'(2)Check In'!$B$4:$I$848,7,FALSE),0)</f>
        <v>0</v>
      </c>
      <c r="J155" s="24">
        <f>IFERROR(VLOOKUP(B155,'(2)Check In'!$B$4:$I$848,8,FALSE),0)</f>
        <v>0</v>
      </c>
      <c r="K155" s="24" t="str">
        <f t="shared" ca="1" si="10"/>
        <v/>
      </c>
      <c r="L155" s="127" t="e">
        <f t="shared" ca="1" si="11"/>
        <v>#VALUE!</v>
      </c>
      <c r="M155" s="142">
        <f>COUNTIFS($H$3:H155,H155)</f>
        <v>52</v>
      </c>
      <c r="N155" s="142">
        <f>COUNTIFS(F$3:$F155,F155,H$3:$H155,H155,E$3:$E155,E155)</f>
        <v>52</v>
      </c>
      <c r="O155" s="142">
        <f>COUNTIFS($F$3:F155,F155,$H$3:H155,H155)</f>
        <v>52</v>
      </c>
    </row>
    <row r="156" spans="1:15" ht="36.6">
      <c r="A156" s="28">
        <v>153</v>
      </c>
      <c r="B156" s="54"/>
      <c r="C156" s="61">
        <f>IFERROR(VLOOKUP(B156,'Runner List'!$B$3:$O$505,5,FALSE),0)</f>
        <v>0</v>
      </c>
      <c r="D156" s="129">
        <f>IFERROR(VLOOKUP(B156,'Runner List'!$B$3:$O$505,6,FALSE),0)</f>
        <v>0</v>
      </c>
      <c r="E156" s="8">
        <f>IFERROR(VLOOKUP(B156,'Runner List'!$B$3:$O$505,7,FALSE),0)</f>
        <v>0</v>
      </c>
      <c r="F156" s="25">
        <f>IFERROR(VLOOKUP(B156,'Runner List'!$B$3:$O$505,8,FALSE),0)</f>
        <v>0</v>
      </c>
      <c r="G156" s="26">
        <f>IFERROR(VLOOKUP(B156,'Runner List'!$B$3:$O$505,9,FALSE),0)</f>
        <v>0</v>
      </c>
      <c r="H156" s="25">
        <f>IFERROR(VLOOKUP(B156,'Runner List'!$B$3:$O$505,10,FALSE),0)</f>
        <v>0</v>
      </c>
      <c r="I156" s="24">
        <f>IFERROR(VLOOKUP(B156,'(2)Check In'!$B$4:$I$848,7,FALSE),0)</f>
        <v>0</v>
      </c>
      <c r="J156" s="24">
        <f>IFERROR(VLOOKUP(B156,'(2)Check In'!$B$4:$I$848,8,FALSE),0)</f>
        <v>0</v>
      </c>
      <c r="K156" s="24" t="str">
        <f t="shared" ca="1" si="10"/>
        <v/>
      </c>
      <c r="L156" s="128" t="e">
        <f t="shared" ca="1" si="11"/>
        <v>#VALUE!</v>
      </c>
      <c r="M156" s="142">
        <f>COUNTIFS($H$3:H156,H156)</f>
        <v>53</v>
      </c>
      <c r="N156" s="142">
        <f>COUNTIFS(F$3:$F156,F156,H$3:$H156,H156,E$3:$E156,E156)</f>
        <v>53</v>
      </c>
      <c r="O156" s="142">
        <f>COUNTIFS($F$3:F156,F156,$H$3:H156,H156)</f>
        <v>53</v>
      </c>
    </row>
    <row r="157" spans="1:15" ht="36.6">
      <c r="A157" s="29">
        <v>154</v>
      </c>
      <c r="B157" s="54"/>
      <c r="C157" s="61">
        <f>IFERROR(VLOOKUP(B157,'Runner List'!$B$3:$O$505,5,FALSE),0)</f>
        <v>0</v>
      </c>
      <c r="D157" s="129">
        <f>IFERROR(VLOOKUP(B157,'Runner List'!$B$3:$O$505,6,FALSE),0)</f>
        <v>0</v>
      </c>
      <c r="E157" s="8">
        <f>IFERROR(VLOOKUP(B157,'Runner List'!$B$3:$O$505,7,FALSE),0)</f>
        <v>0</v>
      </c>
      <c r="F157" s="25">
        <f>IFERROR(VLOOKUP(B157,'Runner List'!$B$3:$O$505,8,FALSE),0)</f>
        <v>0</v>
      </c>
      <c r="G157" s="26">
        <f>IFERROR(VLOOKUP(B157,'Runner List'!$B$3:$O$505,9,FALSE),0)</f>
        <v>0</v>
      </c>
      <c r="H157" s="25">
        <f>IFERROR(VLOOKUP(B157,'Runner List'!$B$3:$O$505,10,FALSE),0)</f>
        <v>0</v>
      </c>
      <c r="I157" s="24">
        <f>IFERROR(VLOOKUP(B157,'(2)Check In'!$B$4:$I$848,7,FALSE),0)</f>
        <v>0</v>
      </c>
      <c r="J157" s="24">
        <f>IFERROR(VLOOKUP(B157,'(2)Check In'!$B$4:$I$848,8,FALSE),0)</f>
        <v>0</v>
      </c>
      <c r="K157" s="24" t="str">
        <f t="shared" ca="1" si="10"/>
        <v/>
      </c>
      <c r="L157" s="127" t="e">
        <f t="shared" ca="1" si="11"/>
        <v>#VALUE!</v>
      </c>
      <c r="M157" s="142">
        <f>COUNTIFS($H$3:H157,H157)</f>
        <v>54</v>
      </c>
      <c r="N157" s="142">
        <f>COUNTIFS(F$3:$F157,F157,H$3:$H157,H157,E$3:$E157,E157)</f>
        <v>54</v>
      </c>
      <c r="O157" s="142">
        <f>COUNTIFS($F$3:F157,F157,$H$3:H157,H157)</f>
        <v>54</v>
      </c>
    </row>
    <row r="158" spans="1:15" ht="36.6">
      <c r="A158" s="28">
        <v>155</v>
      </c>
      <c r="B158" s="54"/>
      <c r="C158" s="61">
        <f>IFERROR(VLOOKUP(B158,'Runner List'!$B$3:$O$505,5,FALSE),0)</f>
        <v>0</v>
      </c>
      <c r="D158" s="129">
        <f>IFERROR(VLOOKUP(B158,'Runner List'!$B$3:$O$505,6,FALSE),0)</f>
        <v>0</v>
      </c>
      <c r="E158" s="8">
        <f>IFERROR(VLOOKUP(B158,'Runner List'!$B$3:$O$505,7,FALSE),0)</f>
        <v>0</v>
      </c>
      <c r="F158" s="25">
        <f>IFERROR(VLOOKUP(B158,'Runner List'!$B$3:$O$505,8,FALSE),0)</f>
        <v>0</v>
      </c>
      <c r="G158" s="26">
        <f>IFERROR(VLOOKUP(B158,'Runner List'!$B$3:$O$505,9,FALSE),0)</f>
        <v>0</v>
      </c>
      <c r="H158" s="25">
        <f>IFERROR(VLOOKUP(B158,'Runner List'!$B$3:$O$505,10,FALSE),0)</f>
        <v>0</v>
      </c>
      <c r="I158" s="24">
        <f>IFERROR(VLOOKUP(B158,'(2)Check In'!$B$4:$I$848,7,FALSE),0)</f>
        <v>0</v>
      </c>
      <c r="J158" s="24">
        <f>IFERROR(VLOOKUP(B158,'(2)Check In'!$B$4:$I$848,8,FALSE),0)</f>
        <v>0</v>
      </c>
      <c r="K158" s="24" t="str">
        <f t="shared" ca="1" si="10"/>
        <v/>
      </c>
      <c r="L158" s="128" t="e">
        <f t="shared" ca="1" si="11"/>
        <v>#VALUE!</v>
      </c>
      <c r="M158" s="142">
        <f>COUNTIFS($H$3:H158,H158)</f>
        <v>55</v>
      </c>
      <c r="N158" s="142">
        <f>COUNTIFS(F$3:$F158,F158,H$3:$H158,H158,E$3:$E158,E158)</f>
        <v>55</v>
      </c>
      <c r="O158" s="142">
        <f>COUNTIFS($F$3:F158,F158,$H$3:H158,H158)</f>
        <v>55</v>
      </c>
    </row>
    <row r="159" spans="1:15" ht="36.6">
      <c r="A159" s="29">
        <v>156</v>
      </c>
      <c r="B159" s="54"/>
      <c r="C159" s="61">
        <f>IFERROR(VLOOKUP(B159,'Runner List'!$B$3:$O$505,5,FALSE),0)</f>
        <v>0</v>
      </c>
      <c r="D159" s="129">
        <f>IFERROR(VLOOKUP(B159,'Runner List'!$B$3:$O$505,6,FALSE),0)</f>
        <v>0</v>
      </c>
      <c r="E159" s="8">
        <f>IFERROR(VLOOKUP(B159,'Runner List'!$B$3:$O$505,7,FALSE),0)</f>
        <v>0</v>
      </c>
      <c r="F159" s="25">
        <f>IFERROR(VLOOKUP(B159,'Runner List'!$B$3:$O$505,8,FALSE),0)</f>
        <v>0</v>
      </c>
      <c r="G159" s="26">
        <f>IFERROR(VLOOKUP(B159,'Runner List'!$B$3:$O$505,9,FALSE),0)</f>
        <v>0</v>
      </c>
      <c r="H159" s="25">
        <f>IFERROR(VLOOKUP(B159,'Runner List'!$B$3:$O$505,10,FALSE),0)</f>
        <v>0</v>
      </c>
      <c r="I159" s="24">
        <f>IFERROR(VLOOKUP(B159,'(2)Check In'!$B$4:$I$848,7,FALSE),0)</f>
        <v>0</v>
      </c>
      <c r="J159" s="24">
        <f>IFERROR(VLOOKUP(B159,'(2)Check In'!$B$4:$I$848,8,FALSE),0)</f>
        <v>0</v>
      </c>
      <c r="K159" s="24" t="str">
        <f t="shared" ca="1" si="10"/>
        <v/>
      </c>
      <c r="L159" s="127" t="e">
        <f t="shared" ca="1" si="11"/>
        <v>#VALUE!</v>
      </c>
      <c r="M159" s="142">
        <f>COUNTIFS($H$3:H159,H159)</f>
        <v>56</v>
      </c>
      <c r="N159" s="142">
        <f>COUNTIFS(F$3:$F159,F159,H$3:$H159,H159,E$3:$E159,E159)</f>
        <v>56</v>
      </c>
      <c r="O159" s="142">
        <f>COUNTIFS($F$3:F159,F159,$H$3:H159,H159)</f>
        <v>56</v>
      </c>
    </row>
    <row r="160" spans="1:15" ht="36.6">
      <c r="A160" s="28">
        <v>157</v>
      </c>
      <c r="B160" s="54"/>
      <c r="C160" s="61">
        <f>IFERROR(VLOOKUP(B160,'Runner List'!$B$3:$O$505,5,FALSE),0)</f>
        <v>0</v>
      </c>
      <c r="D160" s="129">
        <f>IFERROR(VLOOKUP(B160,'Runner List'!$B$3:$O$505,6,FALSE),0)</f>
        <v>0</v>
      </c>
      <c r="E160" s="8">
        <f>IFERROR(VLOOKUP(B160,'Runner List'!$B$3:$O$505,7,FALSE),0)</f>
        <v>0</v>
      </c>
      <c r="F160" s="25">
        <f>IFERROR(VLOOKUP(B160,'Runner List'!$B$3:$O$505,8,FALSE),0)</f>
        <v>0</v>
      </c>
      <c r="G160" s="26">
        <f>IFERROR(VLOOKUP(B160,'Runner List'!$B$3:$O$505,9,FALSE),0)</f>
        <v>0</v>
      </c>
      <c r="H160" s="25">
        <f>IFERROR(VLOOKUP(B160,'Runner List'!$B$3:$O$505,10,FALSE),0)</f>
        <v>0</v>
      </c>
      <c r="I160" s="24">
        <f>IFERROR(VLOOKUP(B160,'(2)Check In'!$B$4:$I$848,7,FALSE),0)</f>
        <v>0</v>
      </c>
      <c r="J160" s="24">
        <f>IFERROR(VLOOKUP(B160,'(2)Check In'!$B$4:$I$848,8,FALSE),0)</f>
        <v>0</v>
      </c>
      <c r="K160" s="24" t="str">
        <f t="shared" ca="1" si="10"/>
        <v/>
      </c>
      <c r="L160" s="128" t="e">
        <f t="shared" ca="1" si="11"/>
        <v>#VALUE!</v>
      </c>
      <c r="M160" s="142">
        <f>COUNTIFS($H$3:H160,H160)</f>
        <v>57</v>
      </c>
      <c r="N160" s="142">
        <f>COUNTIFS(F$3:$F160,F160,H$3:$H160,H160,E$3:$E160,E160)</f>
        <v>57</v>
      </c>
      <c r="O160" s="142">
        <f>COUNTIFS($F$3:F160,F160,$H$3:H160,H160)</f>
        <v>57</v>
      </c>
    </row>
    <row r="161" spans="1:15" ht="36.6">
      <c r="A161" s="29">
        <v>158</v>
      </c>
      <c r="B161" s="54"/>
      <c r="C161" s="61">
        <f>IFERROR(VLOOKUP(B161,'Runner List'!$B$3:$O$505,5,FALSE),0)</f>
        <v>0</v>
      </c>
      <c r="D161" s="129">
        <f>IFERROR(VLOOKUP(B161,'Runner List'!$B$3:$O$505,6,FALSE),0)</f>
        <v>0</v>
      </c>
      <c r="E161" s="8">
        <f>IFERROR(VLOOKUP(B161,'Runner List'!$B$3:$O$505,7,FALSE),0)</f>
        <v>0</v>
      </c>
      <c r="F161" s="25">
        <f>IFERROR(VLOOKUP(B161,'Runner List'!$B$3:$O$505,8,FALSE),0)</f>
        <v>0</v>
      </c>
      <c r="G161" s="26">
        <f>IFERROR(VLOOKUP(B161,'Runner List'!$B$3:$O$505,9,FALSE),0)</f>
        <v>0</v>
      </c>
      <c r="H161" s="25">
        <f>IFERROR(VLOOKUP(B161,'Runner List'!$B$3:$O$505,10,FALSE),0)</f>
        <v>0</v>
      </c>
      <c r="I161" s="24">
        <f>IFERROR(VLOOKUP(B161,'(2)Check In'!$B$4:$I$848,7,FALSE),0)</f>
        <v>0</v>
      </c>
      <c r="J161" s="24">
        <f>IFERROR(VLOOKUP(B161,'(2)Check In'!$B$4:$I$848,8,FALSE),0)</f>
        <v>0</v>
      </c>
      <c r="K161" s="24" t="str">
        <f t="shared" ca="1" si="10"/>
        <v/>
      </c>
      <c r="L161" s="127" t="e">
        <f t="shared" ca="1" si="11"/>
        <v>#VALUE!</v>
      </c>
      <c r="M161" s="142">
        <f>COUNTIFS($H$3:H161,H161)</f>
        <v>58</v>
      </c>
      <c r="N161" s="142">
        <f>COUNTIFS(F$3:$F161,F161,H$3:$H161,H161,E$3:$E161,E161)</f>
        <v>58</v>
      </c>
      <c r="O161" s="142">
        <f>COUNTIFS($F$3:F161,F161,$H$3:H161,H161)</f>
        <v>58</v>
      </c>
    </row>
    <row r="162" spans="1:15" ht="36.6">
      <c r="A162" s="28">
        <v>159</v>
      </c>
      <c r="B162" s="54"/>
      <c r="C162" s="61">
        <f>IFERROR(VLOOKUP(B162,'Runner List'!$B$3:$O$505,5,FALSE),0)</f>
        <v>0</v>
      </c>
      <c r="D162" s="129">
        <f>IFERROR(VLOOKUP(B162,'Runner List'!$B$3:$O$505,6,FALSE),0)</f>
        <v>0</v>
      </c>
      <c r="E162" s="8">
        <f>IFERROR(VLOOKUP(B162,'Runner List'!$B$3:$O$505,7,FALSE),0)</f>
        <v>0</v>
      </c>
      <c r="F162" s="25">
        <f>IFERROR(VLOOKUP(B162,'Runner List'!$B$3:$O$505,8,FALSE),0)</f>
        <v>0</v>
      </c>
      <c r="G162" s="26">
        <f>IFERROR(VLOOKUP(B162,'Runner List'!$B$3:$O$505,9,FALSE),0)</f>
        <v>0</v>
      </c>
      <c r="H162" s="25">
        <f>IFERROR(VLOOKUP(B162,'Runner List'!$B$3:$O$505,10,FALSE),0)</f>
        <v>0</v>
      </c>
      <c r="I162" s="24">
        <f>IFERROR(VLOOKUP(B162,'(2)Check In'!$B$4:$I$848,7,FALSE),0)</f>
        <v>0</v>
      </c>
      <c r="J162" s="24">
        <f>IFERROR(VLOOKUP(B162,'(2)Check In'!$B$4:$I$848,8,FALSE),0)</f>
        <v>0</v>
      </c>
      <c r="K162" s="24" t="str">
        <f t="shared" ca="1" si="10"/>
        <v/>
      </c>
      <c r="L162" s="128" t="e">
        <f t="shared" ca="1" si="11"/>
        <v>#VALUE!</v>
      </c>
      <c r="M162" s="142">
        <f>COUNTIFS($H$3:H162,H162)</f>
        <v>59</v>
      </c>
      <c r="N162" s="142">
        <f>COUNTIFS(F$3:$F162,F162,H$3:$H162,H162,E$3:$E162,E162)</f>
        <v>59</v>
      </c>
      <c r="O162" s="142">
        <f>COUNTIFS($F$3:F162,F162,$H$3:H162,H162)</f>
        <v>59</v>
      </c>
    </row>
    <row r="163" spans="1:15" ht="36.6">
      <c r="A163" s="29">
        <v>160</v>
      </c>
      <c r="B163" s="54"/>
      <c r="C163" s="61">
        <f>IFERROR(VLOOKUP(B163,'Runner List'!$B$3:$O$505,5,FALSE),0)</f>
        <v>0</v>
      </c>
      <c r="D163" s="129">
        <f>IFERROR(VLOOKUP(B163,'Runner List'!$B$3:$O$505,6,FALSE),0)</f>
        <v>0</v>
      </c>
      <c r="E163" s="8">
        <f>IFERROR(VLOOKUP(B163,'Runner List'!$B$3:$O$505,7,FALSE),0)</f>
        <v>0</v>
      </c>
      <c r="F163" s="25">
        <f>IFERROR(VLOOKUP(B163,'Runner List'!$B$3:$O$505,8,FALSE),0)</f>
        <v>0</v>
      </c>
      <c r="G163" s="26">
        <f>IFERROR(VLOOKUP(B163,'Runner List'!$B$3:$O$505,9,FALSE),0)</f>
        <v>0</v>
      </c>
      <c r="H163" s="25">
        <f>IFERROR(VLOOKUP(B163,'Runner List'!$B$3:$O$505,10,FALSE),0)</f>
        <v>0</v>
      </c>
      <c r="I163" s="24">
        <f>IFERROR(VLOOKUP(B163,'(2)Check In'!$B$4:$I$848,7,FALSE),0)</f>
        <v>0</v>
      </c>
      <c r="J163" s="24">
        <f>IFERROR(VLOOKUP(B163,'(2)Check In'!$B$4:$I$848,8,FALSE),0)</f>
        <v>0</v>
      </c>
      <c r="K163" s="24" t="str">
        <f t="shared" ca="1" si="10"/>
        <v/>
      </c>
      <c r="L163" s="127" t="e">
        <f t="shared" ca="1" si="11"/>
        <v>#VALUE!</v>
      </c>
      <c r="M163" s="142">
        <f>COUNTIFS($H$3:H163,H163)</f>
        <v>60</v>
      </c>
      <c r="N163" s="142">
        <f>COUNTIFS(F$3:$F163,F163,H$3:$H163,H163,E$3:$E163,E163)</f>
        <v>60</v>
      </c>
      <c r="O163" s="142">
        <f>COUNTIFS($F$3:F163,F163,$H$3:H163,H163)</f>
        <v>60</v>
      </c>
    </row>
    <row r="164" spans="1:15" ht="36.6">
      <c r="A164" s="28">
        <v>161</v>
      </c>
      <c r="B164" s="54"/>
      <c r="C164" s="61">
        <f>IFERROR(VLOOKUP(B164,'Runner List'!$B$3:$O$505,5,FALSE),0)</f>
        <v>0</v>
      </c>
      <c r="D164" s="129">
        <f>IFERROR(VLOOKUP(B164,'Runner List'!$B$3:$O$505,6,FALSE),0)</f>
        <v>0</v>
      </c>
      <c r="E164" s="8">
        <f>IFERROR(VLOOKUP(B164,'Runner List'!$B$3:$O$505,7,FALSE),0)</f>
        <v>0</v>
      </c>
      <c r="F164" s="25">
        <f>IFERROR(VLOOKUP(B164,'Runner List'!$B$3:$O$505,8,FALSE),0)</f>
        <v>0</v>
      </c>
      <c r="G164" s="26">
        <f>IFERROR(VLOOKUP(B164,'Runner List'!$B$3:$O$505,9,FALSE),0)</f>
        <v>0</v>
      </c>
      <c r="H164" s="25">
        <f>IFERROR(VLOOKUP(B164,'Runner List'!$B$3:$O$505,10,FALSE),0)</f>
        <v>0</v>
      </c>
      <c r="I164" s="24">
        <f>IFERROR(VLOOKUP(B164,'(2)Check In'!$B$4:$I$848,7,FALSE),0)</f>
        <v>0</v>
      </c>
      <c r="J164" s="24">
        <f>IFERROR(VLOOKUP(B164,'(2)Check In'!$B$4:$I$848,8,FALSE),0)</f>
        <v>0</v>
      </c>
      <c r="K164" s="24" t="str">
        <f t="shared" ca="1" si="10"/>
        <v/>
      </c>
      <c r="L164" s="128" t="e">
        <f t="shared" ca="1" si="11"/>
        <v>#VALUE!</v>
      </c>
      <c r="M164" s="142">
        <f>COUNTIFS($H$3:H164,H164)</f>
        <v>61</v>
      </c>
      <c r="N164" s="142">
        <f>COUNTIFS(F$3:$F164,F164,H$3:$H164,H164,E$3:$E164,E164)</f>
        <v>61</v>
      </c>
      <c r="O164" s="142">
        <f>COUNTIFS($F$3:F164,F164,$H$3:H164,H164)</f>
        <v>61</v>
      </c>
    </row>
    <row r="165" spans="1:15" ht="36.6">
      <c r="A165" s="29">
        <v>162</v>
      </c>
      <c r="B165" s="54"/>
      <c r="C165" s="61">
        <f>IFERROR(VLOOKUP(B165,'Runner List'!$B$3:$O$505,5,FALSE),0)</f>
        <v>0</v>
      </c>
      <c r="D165" s="129">
        <f>IFERROR(VLOOKUP(B165,'Runner List'!$B$3:$O$505,6,FALSE),0)</f>
        <v>0</v>
      </c>
      <c r="E165" s="8">
        <f>IFERROR(VLOOKUP(B165,'Runner List'!$B$3:$O$505,7,FALSE),0)</f>
        <v>0</v>
      </c>
      <c r="F165" s="25">
        <f>IFERROR(VLOOKUP(B165,'Runner List'!$B$3:$O$505,8,FALSE),0)</f>
        <v>0</v>
      </c>
      <c r="G165" s="26">
        <f>IFERROR(VLOOKUP(B165,'Runner List'!$B$3:$O$505,9,FALSE),0)</f>
        <v>0</v>
      </c>
      <c r="H165" s="25">
        <f>IFERROR(VLOOKUP(B165,'Runner List'!$B$3:$O$505,10,FALSE),0)</f>
        <v>0</v>
      </c>
      <c r="I165" s="24">
        <f>IFERROR(VLOOKUP(B165,'(2)Check In'!$B$4:$I$848,7,FALSE),0)</f>
        <v>0</v>
      </c>
      <c r="J165" s="24">
        <f>IFERROR(VLOOKUP(B165,'(2)Check In'!$B$4:$I$848,8,FALSE),0)</f>
        <v>0</v>
      </c>
      <c r="K165" s="24" t="str">
        <f t="shared" ca="1" si="10"/>
        <v/>
      </c>
      <c r="L165" s="127" t="e">
        <f t="shared" ca="1" si="11"/>
        <v>#VALUE!</v>
      </c>
      <c r="M165" s="142">
        <f>COUNTIFS($H$3:H165,H165)</f>
        <v>62</v>
      </c>
      <c r="N165" s="142">
        <f>COUNTIFS(F$3:$F165,F165,H$3:$H165,H165,E$3:$E165,E165)</f>
        <v>62</v>
      </c>
      <c r="O165" s="142">
        <f>COUNTIFS($F$3:F165,F165,$H$3:H165,H165)</f>
        <v>62</v>
      </c>
    </row>
    <row r="166" spans="1:15" ht="36.6">
      <c r="A166" s="28">
        <v>163</v>
      </c>
      <c r="B166" s="54"/>
      <c r="C166" s="61">
        <f>IFERROR(VLOOKUP(B166,'Runner List'!$B$3:$O$505,5,FALSE),0)</f>
        <v>0</v>
      </c>
      <c r="D166" s="129">
        <f>IFERROR(VLOOKUP(B166,'Runner List'!$B$3:$O$505,6,FALSE),0)</f>
        <v>0</v>
      </c>
      <c r="E166" s="8">
        <f>IFERROR(VLOOKUP(B166,'Runner List'!$B$3:$O$505,7,FALSE),0)</f>
        <v>0</v>
      </c>
      <c r="F166" s="25">
        <f>IFERROR(VLOOKUP(B166,'Runner List'!$B$3:$O$505,8,FALSE),0)</f>
        <v>0</v>
      </c>
      <c r="G166" s="26">
        <f>IFERROR(VLOOKUP(B166,'Runner List'!$B$3:$O$505,9,FALSE),0)</f>
        <v>0</v>
      </c>
      <c r="H166" s="25">
        <f>IFERROR(VLOOKUP(B166,'Runner List'!$B$3:$O$505,10,FALSE),0)</f>
        <v>0</v>
      </c>
      <c r="I166" s="24">
        <f>IFERROR(VLOOKUP(B166,'(2)Check In'!$B$4:$I$848,7,FALSE),0)</f>
        <v>0</v>
      </c>
      <c r="J166" s="24">
        <f>IFERROR(VLOOKUP(B166,'(2)Check In'!$B$4:$I$848,8,FALSE),0)</f>
        <v>0</v>
      </c>
      <c r="K166" s="24" t="str">
        <f t="shared" ca="1" si="10"/>
        <v/>
      </c>
      <c r="L166" s="128" t="e">
        <f t="shared" ca="1" si="11"/>
        <v>#VALUE!</v>
      </c>
      <c r="M166" s="142">
        <f>COUNTIFS($H$3:H166,H166)</f>
        <v>63</v>
      </c>
      <c r="N166" s="142">
        <f>COUNTIFS(F$3:$F166,F166,H$3:$H166,H166,E$3:$E166,E166)</f>
        <v>63</v>
      </c>
      <c r="O166" s="142">
        <f>COUNTIFS($F$3:F166,F166,$H$3:H166,H166)</f>
        <v>63</v>
      </c>
    </row>
    <row r="167" spans="1:15" ht="36.6">
      <c r="A167" s="29">
        <v>164</v>
      </c>
      <c r="B167" s="54"/>
      <c r="C167" s="61">
        <f>IFERROR(VLOOKUP(B167,'Runner List'!$B$3:$O$505,5,FALSE),0)</f>
        <v>0</v>
      </c>
      <c r="D167" s="129">
        <f>IFERROR(VLOOKUP(B167,'Runner List'!$B$3:$O$505,6,FALSE),0)</f>
        <v>0</v>
      </c>
      <c r="E167" s="8">
        <f>IFERROR(VLOOKUP(B167,'Runner List'!$B$3:$O$505,7,FALSE),0)</f>
        <v>0</v>
      </c>
      <c r="F167" s="25">
        <f>IFERROR(VLOOKUP(B167,'Runner List'!$B$3:$O$505,8,FALSE),0)</f>
        <v>0</v>
      </c>
      <c r="G167" s="26">
        <f>IFERROR(VLOOKUP(B167,'Runner List'!$B$3:$O$505,9,FALSE),0)</f>
        <v>0</v>
      </c>
      <c r="H167" s="25">
        <f>IFERROR(VLOOKUP(B167,'Runner List'!$B$3:$O$505,10,FALSE),0)</f>
        <v>0</v>
      </c>
      <c r="I167" s="24">
        <f>IFERROR(VLOOKUP(B167,'(2)Check In'!$B$4:$I$848,7,FALSE),0)</f>
        <v>0</v>
      </c>
      <c r="J167" s="24">
        <f>IFERROR(VLOOKUP(B167,'(2)Check In'!$B$4:$I$848,8,FALSE),0)</f>
        <v>0</v>
      </c>
      <c r="K167" s="24" t="str">
        <f t="shared" ca="1" si="10"/>
        <v/>
      </c>
      <c r="L167" s="127" t="e">
        <f t="shared" ca="1" si="11"/>
        <v>#VALUE!</v>
      </c>
      <c r="M167" s="142">
        <f>COUNTIFS($H$3:H167,H167)</f>
        <v>64</v>
      </c>
      <c r="N167" s="142">
        <f>COUNTIFS(F$3:$F167,F167,H$3:$H167,H167,E$3:$E167,E167)</f>
        <v>64</v>
      </c>
      <c r="O167" s="142">
        <f>COUNTIFS($F$3:F167,F167,$H$3:H167,H167)</f>
        <v>64</v>
      </c>
    </row>
    <row r="168" spans="1:15" ht="36.6">
      <c r="A168" s="28">
        <v>165</v>
      </c>
      <c r="B168" s="54"/>
      <c r="C168" s="61">
        <f>IFERROR(VLOOKUP(B168,'Runner List'!$B$3:$O$505,5,FALSE),0)</f>
        <v>0</v>
      </c>
      <c r="D168" s="129">
        <f>IFERROR(VLOOKUP(B168,'Runner List'!$B$3:$O$505,6,FALSE),0)</f>
        <v>0</v>
      </c>
      <c r="E168" s="8">
        <f>IFERROR(VLOOKUP(B168,'Runner List'!$B$3:$O$505,7,FALSE),0)</f>
        <v>0</v>
      </c>
      <c r="F168" s="25">
        <f>IFERROR(VLOOKUP(B168,'Runner List'!$B$3:$O$505,8,FALSE),0)</f>
        <v>0</v>
      </c>
      <c r="G168" s="26">
        <f>IFERROR(VLOOKUP(B168,'Runner List'!$B$3:$O$505,9,FALSE),0)</f>
        <v>0</v>
      </c>
      <c r="H168" s="25">
        <f>IFERROR(VLOOKUP(B168,'Runner List'!$B$3:$O$505,10,FALSE),0)</f>
        <v>0</v>
      </c>
      <c r="I168" s="24">
        <f>IFERROR(VLOOKUP(B168,'(2)Check In'!$B$4:$I$848,7,FALSE),0)</f>
        <v>0</v>
      </c>
      <c r="J168" s="24">
        <f>IFERROR(VLOOKUP(B168,'(2)Check In'!$B$4:$I$848,8,FALSE),0)</f>
        <v>0</v>
      </c>
      <c r="K168" s="24" t="str">
        <f t="shared" ca="1" si="10"/>
        <v/>
      </c>
      <c r="L168" s="128" t="e">
        <f t="shared" ca="1" si="11"/>
        <v>#VALUE!</v>
      </c>
      <c r="M168" s="142">
        <f>COUNTIFS($H$3:H168,H168)</f>
        <v>65</v>
      </c>
      <c r="N168" s="142">
        <f>COUNTIFS(F$3:$F168,F168,H$3:$H168,H168,E$3:$E168,E168)</f>
        <v>65</v>
      </c>
      <c r="O168" s="142">
        <f>COUNTIFS($F$3:F168,F168,$H$3:H168,H168)</f>
        <v>65</v>
      </c>
    </row>
    <row r="169" spans="1:15" ht="36.6">
      <c r="A169" s="29">
        <v>166</v>
      </c>
      <c r="B169" s="54"/>
      <c r="C169" s="61">
        <f>IFERROR(VLOOKUP(B169,'Runner List'!$B$3:$O$505,5,FALSE),0)</f>
        <v>0</v>
      </c>
      <c r="D169" s="129">
        <f>IFERROR(VLOOKUP(B169,'Runner List'!$B$3:$O$505,6,FALSE),0)</f>
        <v>0</v>
      </c>
      <c r="E169" s="8">
        <f>IFERROR(VLOOKUP(B169,'Runner List'!$B$3:$O$505,7,FALSE),0)</f>
        <v>0</v>
      </c>
      <c r="F169" s="25">
        <f>IFERROR(VLOOKUP(B169,'Runner List'!$B$3:$O$505,8,FALSE),0)</f>
        <v>0</v>
      </c>
      <c r="G169" s="26">
        <f>IFERROR(VLOOKUP(B169,'Runner List'!$B$3:$O$505,9,FALSE),0)</f>
        <v>0</v>
      </c>
      <c r="H169" s="25">
        <f>IFERROR(VLOOKUP(B169,'Runner List'!$B$3:$O$505,10,FALSE),0)</f>
        <v>0</v>
      </c>
      <c r="I169" s="24">
        <f>IFERROR(VLOOKUP(B169,'(2)Check In'!$B$4:$I$848,7,FALSE),0)</f>
        <v>0</v>
      </c>
      <c r="J169" s="24">
        <f>IFERROR(VLOOKUP(B169,'(2)Check In'!$B$4:$I$848,8,FALSE),0)</f>
        <v>0</v>
      </c>
      <c r="K169" s="24" t="str">
        <f t="shared" ca="1" si="10"/>
        <v/>
      </c>
      <c r="L169" s="127" t="e">
        <f t="shared" ca="1" si="11"/>
        <v>#VALUE!</v>
      </c>
      <c r="M169" s="142">
        <f>COUNTIFS($H$3:H169,H169)</f>
        <v>66</v>
      </c>
      <c r="N169" s="142">
        <f>COUNTIFS(F$3:$F169,F169,H$3:$H169,H169,E$3:$E169,E169)</f>
        <v>66</v>
      </c>
      <c r="O169" s="142">
        <f>COUNTIFS($F$3:F169,F169,$H$3:H169,H169)</f>
        <v>66</v>
      </c>
    </row>
    <row r="170" spans="1:15" ht="36.6">
      <c r="A170" s="28">
        <v>167</v>
      </c>
      <c r="B170" s="54"/>
      <c r="C170" s="61">
        <f>IFERROR(VLOOKUP(B170,'Runner List'!$B$3:$O$505,5,FALSE),0)</f>
        <v>0</v>
      </c>
      <c r="D170" s="129">
        <f>IFERROR(VLOOKUP(B170,'Runner List'!$B$3:$O$505,6,FALSE),0)</f>
        <v>0</v>
      </c>
      <c r="E170" s="8">
        <f>IFERROR(VLOOKUP(B170,'Runner List'!$B$3:$O$505,7,FALSE),0)</f>
        <v>0</v>
      </c>
      <c r="F170" s="25">
        <f>IFERROR(VLOOKUP(B170,'Runner List'!$B$3:$O$505,8,FALSE),0)</f>
        <v>0</v>
      </c>
      <c r="G170" s="26">
        <f>IFERROR(VLOOKUP(B170,'Runner List'!$B$3:$O$505,9,FALSE),0)</f>
        <v>0</v>
      </c>
      <c r="H170" s="25">
        <f>IFERROR(VLOOKUP(B170,'Runner List'!$B$3:$O$505,10,FALSE),0)</f>
        <v>0</v>
      </c>
      <c r="I170" s="24">
        <f>IFERROR(VLOOKUP(B170,'(2)Check In'!$B$4:$I$848,7,FALSE),0)</f>
        <v>0</v>
      </c>
      <c r="J170" s="24">
        <f>IFERROR(VLOOKUP(B170,'(2)Check In'!$B$4:$I$848,8,FALSE),0)</f>
        <v>0</v>
      </c>
      <c r="K170" s="24" t="str">
        <f t="shared" ca="1" si="10"/>
        <v/>
      </c>
      <c r="L170" s="128" t="e">
        <f t="shared" ca="1" si="11"/>
        <v>#VALUE!</v>
      </c>
      <c r="M170" s="142">
        <f>COUNTIFS($H$3:H170,H170)</f>
        <v>67</v>
      </c>
      <c r="N170" s="142">
        <f>COUNTIFS(F$3:$F170,F170,H$3:$H170,H170,E$3:$E170,E170)</f>
        <v>67</v>
      </c>
      <c r="O170" s="142">
        <f>COUNTIFS($F$3:F170,F170,$H$3:H170,H170)</f>
        <v>67</v>
      </c>
    </row>
    <row r="171" spans="1:15" ht="36.6">
      <c r="A171" s="29">
        <v>168</v>
      </c>
      <c r="B171" s="54"/>
      <c r="C171" s="61">
        <f>IFERROR(VLOOKUP(B171,'Runner List'!$B$3:$O$505,5,FALSE),0)</f>
        <v>0</v>
      </c>
      <c r="D171" s="129">
        <f>IFERROR(VLOOKUP(B171,'Runner List'!$B$3:$O$505,6,FALSE),0)</f>
        <v>0</v>
      </c>
      <c r="E171" s="8">
        <f>IFERROR(VLOOKUP(B171,'Runner List'!$B$3:$O$505,7,FALSE),0)</f>
        <v>0</v>
      </c>
      <c r="F171" s="25">
        <f>IFERROR(VLOOKUP(B171,'Runner List'!$B$3:$O$505,8,FALSE),0)</f>
        <v>0</v>
      </c>
      <c r="G171" s="26">
        <f>IFERROR(VLOOKUP(B171,'Runner List'!$B$3:$O$505,9,FALSE),0)</f>
        <v>0</v>
      </c>
      <c r="H171" s="25">
        <f>IFERROR(VLOOKUP(B171,'Runner List'!$B$3:$O$505,10,FALSE),0)</f>
        <v>0</v>
      </c>
      <c r="I171" s="24">
        <f>IFERROR(VLOOKUP(B171,'(2)Check In'!$B$4:$I$848,7,FALSE),0)</f>
        <v>0</v>
      </c>
      <c r="J171" s="24">
        <f>IFERROR(VLOOKUP(B171,'(2)Check In'!$B$4:$I$848,8,FALSE),0)</f>
        <v>0</v>
      </c>
      <c r="K171" s="24" t="str">
        <f t="shared" ca="1" si="10"/>
        <v/>
      </c>
      <c r="L171" s="127" t="e">
        <f t="shared" ca="1" si="11"/>
        <v>#VALUE!</v>
      </c>
      <c r="M171" s="142">
        <f>COUNTIFS($H$3:H171,H171)</f>
        <v>68</v>
      </c>
      <c r="N171" s="142">
        <f>COUNTIFS(F$3:$F171,F171,H$3:$H171,H171,E$3:$E171,E171)</f>
        <v>68</v>
      </c>
      <c r="O171" s="142">
        <f>COUNTIFS($F$3:F171,F171,$H$3:H171,H171)</f>
        <v>68</v>
      </c>
    </row>
    <row r="172" spans="1:15" ht="36.6">
      <c r="A172" s="28">
        <v>169</v>
      </c>
      <c r="B172" s="54"/>
      <c r="C172" s="61">
        <f>IFERROR(VLOOKUP(B172,'Runner List'!$B$3:$O$505,5,FALSE),0)</f>
        <v>0</v>
      </c>
      <c r="D172" s="129">
        <f>IFERROR(VLOOKUP(B172,'Runner List'!$B$3:$O$505,6,FALSE),0)</f>
        <v>0</v>
      </c>
      <c r="E172" s="8">
        <f>IFERROR(VLOOKUP(B172,'Runner List'!$B$3:$O$505,7,FALSE),0)</f>
        <v>0</v>
      </c>
      <c r="F172" s="25">
        <f>IFERROR(VLOOKUP(B172,'Runner List'!$B$3:$O$505,8,FALSE),0)</f>
        <v>0</v>
      </c>
      <c r="G172" s="26">
        <f>IFERROR(VLOOKUP(B172,'Runner List'!$B$3:$O$505,9,FALSE),0)</f>
        <v>0</v>
      </c>
      <c r="H172" s="25">
        <f>IFERROR(VLOOKUP(B172,'Runner List'!$B$3:$O$505,10,FALSE),0)</f>
        <v>0</v>
      </c>
      <c r="I172" s="24">
        <f>IFERROR(VLOOKUP(B172,'(2)Check In'!$B$4:$I$848,7,FALSE),0)</f>
        <v>0</v>
      </c>
      <c r="J172" s="24">
        <f>IFERROR(VLOOKUP(B172,'(2)Check In'!$B$4:$I$848,8,FALSE),0)</f>
        <v>0</v>
      </c>
      <c r="K172" s="24" t="str">
        <f t="shared" ca="1" si="10"/>
        <v/>
      </c>
      <c r="L172" s="128" t="e">
        <f t="shared" ca="1" si="11"/>
        <v>#VALUE!</v>
      </c>
      <c r="M172" s="142">
        <f>COUNTIFS($H$3:H172,H172)</f>
        <v>69</v>
      </c>
      <c r="N172" s="142">
        <f>COUNTIFS(F$3:$F172,F172,H$3:$H172,H172,E$3:$E172,E172)</f>
        <v>69</v>
      </c>
      <c r="O172" s="142">
        <f>COUNTIFS($F$3:F172,F172,$H$3:H172,H172)</f>
        <v>69</v>
      </c>
    </row>
    <row r="173" spans="1:15" ht="36.6">
      <c r="A173" s="29">
        <v>170</v>
      </c>
      <c r="B173" s="54"/>
      <c r="C173" s="61">
        <f>IFERROR(VLOOKUP(B173,'Runner List'!$B$3:$O$505,5,FALSE),0)</f>
        <v>0</v>
      </c>
      <c r="D173" s="129">
        <f>IFERROR(VLOOKUP(B173,'Runner List'!$B$3:$O$505,6,FALSE),0)</f>
        <v>0</v>
      </c>
      <c r="E173" s="8">
        <f>IFERROR(VLOOKUP(B173,'Runner List'!$B$3:$O$505,7,FALSE),0)</f>
        <v>0</v>
      </c>
      <c r="F173" s="25">
        <f>IFERROR(VLOOKUP(B173,'Runner List'!$B$3:$O$505,8,FALSE),0)</f>
        <v>0</v>
      </c>
      <c r="G173" s="26">
        <f>IFERROR(VLOOKUP(B173,'Runner List'!$B$3:$O$505,9,FALSE),0)</f>
        <v>0</v>
      </c>
      <c r="H173" s="25">
        <f>IFERROR(VLOOKUP(B173,'Runner List'!$B$3:$O$505,10,FALSE),0)</f>
        <v>0</v>
      </c>
      <c r="I173" s="24">
        <f>IFERROR(VLOOKUP(B173,'(2)Check In'!$B$4:$I$848,7,FALSE),0)</f>
        <v>0</v>
      </c>
      <c r="J173" s="24">
        <f>IFERROR(VLOOKUP(B173,'(2)Check In'!$B$4:$I$848,8,FALSE),0)</f>
        <v>0</v>
      </c>
      <c r="K173" s="24" t="str">
        <f t="shared" ca="1" si="10"/>
        <v/>
      </c>
      <c r="L173" s="127" t="e">
        <f t="shared" ca="1" si="11"/>
        <v>#VALUE!</v>
      </c>
      <c r="M173" s="142">
        <f>COUNTIFS($H$3:H173,H173)</f>
        <v>70</v>
      </c>
      <c r="N173" s="142">
        <f>COUNTIFS(F$3:$F173,F173,H$3:$H173,H173,E$3:$E173,E173)</f>
        <v>70</v>
      </c>
      <c r="O173" s="142">
        <f>COUNTIFS($F$3:F173,F173,$H$3:H173,H173)</f>
        <v>70</v>
      </c>
    </row>
    <row r="174" spans="1:15" ht="36.6">
      <c r="A174" s="28">
        <v>171</v>
      </c>
      <c r="B174" s="54"/>
      <c r="C174" s="61">
        <f>IFERROR(VLOOKUP(B174,'Runner List'!$B$3:$O$505,5,FALSE),0)</f>
        <v>0</v>
      </c>
      <c r="D174" s="129">
        <f>IFERROR(VLOOKUP(B174,'Runner List'!$B$3:$O$505,6,FALSE),0)</f>
        <v>0</v>
      </c>
      <c r="E174" s="8">
        <f>IFERROR(VLOOKUP(B174,'Runner List'!$B$3:$O$505,7,FALSE),0)</f>
        <v>0</v>
      </c>
      <c r="F174" s="25">
        <f>IFERROR(VLOOKUP(B174,'Runner List'!$B$3:$O$505,8,FALSE),0)</f>
        <v>0</v>
      </c>
      <c r="G174" s="26">
        <f>IFERROR(VLOOKUP(B174,'Runner List'!$B$3:$O$505,9,FALSE),0)</f>
        <v>0</v>
      </c>
      <c r="H174" s="25">
        <f>IFERROR(VLOOKUP(B174,'Runner List'!$B$3:$O$505,10,FALSE),0)</f>
        <v>0</v>
      </c>
      <c r="I174" s="24">
        <f>IFERROR(VLOOKUP(B174,'(2)Check In'!$B$4:$I$848,7,FALSE),0)</f>
        <v>0</v>
      </c>
      <c r="J174" s="24">
        <f>IFERROR(VLOOKUP(B174,'(2)Check In'!$B$4:$I$848,8,FALSE),0)</f>
        <v>0</v>
      </c>
      <c r="K174" s="24" t="str">
        <f t="shared" ca="1" si="10"/>
        <v/>
      </c>
      <c r="L174" s="128" t="e">
        <f t="shared" ca="1" si="11"/>
        <v>#VALUE!</v>
      </c>
      <c r="M174" s="142">
        <f>COUNTIFS($H$3:H174,H174)</f>
        <v>71</v>
      </c>
      <c r="N174" s="142">
        <f>COUNTIFS(F$3:$F174,F174,H$3:$H174,H174,E$3:$E174,E174)</f>
        <v>71</v>
      </c>
      <c r="O174" s="142">
        <f>COUNTIFS($F$3:F174,F174,$H$3:H174,H174)</f>
        <v>71</v>
      </c>
    </row>
    <row r="175" spans="1:15" ht="36.6">
      <c r="A175" s="29">
        <v>172</v>
      </c>
      <c r="B175" s="54"/>
      <c r="C175" s="61">
        <f>IFERROR(VLOOKUP(B175,'Runner List'!$B$3:$O$505,5,FALSE),0)</f>
        <v>0</v>
      </c>
      <c r="D175" s="129">
        <f>IFERROR(VLOOKUP(B175,'Runner List'!$B$3:$O$505,6,FALSE),0)</f>
        <v>0</v>
      </c>
      <c r="E175" s="8">
        <f>IFERROR(VLOOKUP(B175,'Runner List'!$B$3:$O$505,7,FALSE),0)</f>
        <v>0</v>
      </c>
      <c r="F175" s="25">
        <f>IFERROR(VLOOKUP(B175,'Runner List'!$B$3:$O$505,8,FALSE),0)</f>
        <v>0</v>
      </c>
      <c r="G175" s="26">
        <f>IFERROR(VLOOKUP(B175,'Runner List'!$B$3:$O$505,9,FALSE),0)</f>
        <v>0</v>
      </c>
      <c r="H175" s="25">
        <f>IFERROR(VLOOKUP(B175,'Runner List'!$B$3:$O$505,10,FALSE),0)</f>
        <v>0</v>
      </c>
      <c r="I175" s="24">
        <f>IFERROR(VLOOKUP(B175,'(2)Check In'!$B$4:$I$848,7,FALSE),0)</f>
        <v>0</v>
      </c>
      <c r="J175" s="24">
        <f>IFERROR(VLOOKUP(B175,'(2)Check In'!$B$4:$I$848,8,FALSE),0)</f>
        <v>0</v>
      </c>
      <c r="K175" s="24" t="str">
        <f t="shared" ca="1" si="10"/>
        <v/>
      </c>
      <c r="L175" s="127" t="e">
        <f t="shared" ca="1" si="11"/>
        <v>#VALUE!</v>
      </c>
      <c r="M175" s="142">
        <f>COUNTIFS($H$3:H175,H175)</f>
        <v>72</v>
      </c>
      <c r="N175" s="142">
        <f>COUNTIFS(F$3:$F175,F175,H$3:$H175,H175,E$3:$E175,E175)</f>
        <v>72</v>
      </c>
      <c r="O175" s="142">
        <f>COUNTIFS($F$3:F175,F175,$H$3:H175,H175)</f>
        <v>72</v>
      </c>
    </row>
    <row r="176" spans="1:15" ht="36.6">
      <c r="A176" s="28">
        <v>173</v>
      </c>
      <c r="B176" s="54"/>
      <c r="C176" s="61">
        <f>IFERROR(VLOOKUP(B176,'Runner List'!$B$3:$O$505,5,FALSE),0)</f>
        <v>0</v>
      </c>
      <c r="D176" s="129">
        <f>IFERROR(VLOOKUP(B176,'Runner List'!$B$3:$O$505,6,FALSE),0)</f>
        <v>0</v>
      </c>
      <c r="E176" s="8">
        <f>IFERROR(VLOOKUP(B176,'Runner List'!$B$3:$O$505,7,FALSE),0)</f>
        <v>0</v>
      </c>
      <c r="F176" s="25">
        <f>IFERROR(VLOOKUP(B176,'Runner List'!$B$3:$O$505,8,FALSE),0)</f>
        <v>0</v>
      </c>
      <c r="G176" s="26">
        <f>IFERROR(VLOOKUP(B176,'Runner List'!$B$3:$O$505,9,FALSE),0)</f>
        <v>0</v>
      </c>
      <c r="H176" s="25">
        <f>IFERROR(VLOOKUP(B176,'Runner List'!$B$3:$O$505,10,FALSE),0)</f>
        <v>0</v>
      </c>
      <c r="I176" s="24">
        <f>IFERROR(VLOOKUP(B176,'(2)Check In'!$B$4:$I$848,7,FALSE),0)</f>
        <v>0</v>
      </c>
      <c r="J176" s="24">
        <f>IFERROR(VLOOKUP(B176,'(2)Check In'!$B$4:$I$848,8,FALSE),0)</f>
        <v>0</v>
      </c>
      <c r="K176" s="24" t="str">
        <f t="shared" ca="1" si="10"/>
        <v/>
      </c>
      <c r="L176" s="128" t="e">
        <f t="shared" ca="1" si="11"/>
        <v>#VALUE!</v>
      </c>
      <c r="M176" s="142">
        <f>COUNTIFS($H$3:H176,H176)</f>
        <v>73</v>
      </c>
      <c r="N176" s="142">
        <f>COUNTIFS(F$3:$F176,F176,H$3:$H176,H176,E$3:$E176,E176)</f>
        <v>73</v>
      </c>
      <c r="O176" s="142">
        <f>COUNTIFS($F$3:F176,F176,$H$3:H176,H176)</f>
        <v>73</v>
      </c>
    </row>
    <row r="177" spans="1:15" ht="36.6">
      <c r="A177" s="29">
        <v>174</v>
      </c>
      <c r="B177" s="54"/>
      <c r="C177" s="61">
        <f>IFERROR(VLOOKUP(B177,'Runner List'!$B$3:$O$505,5,FALSE),0)</f>
        <v>0</v>
      </c>
      <c r="D177" s="129">
        <f>IFERROR(VLOOKUP(B177,'Runner List'!$B$3:$O$505,6,FALSE),0)</f>
        <v>0</v>
      </c>
      <c r="E177" s="8">
        <f>IFERROR(VLOOKUP(B177,'Runner List'!$B$3:$O$505,7,FALSE),0)</f>
        <v>0</v>
      </c>
      <c r="F177" s="25">
        <f>IFERROR(VLOOKUP(B177,'Runner List'!$B$3:$O$505,8,FALSE),0)</f>
        <v>0</v>
      </c>
      <c r="G177" s="26">
        <f>IFERROR(VLOOKUP(B177,'Runner List'!$B$3:$O$505,9,FALSE),0)</f>
        <v>0</v>
      </c>
      <c r="H177" s="25">
        <f>IFERROR(VLOOKUP(B177,'Runner List'!$B$3:$O$505,10,FALSE),0)</f>
        <v>0</v>
      </c>
      <c r="I177" s="24">
        <f>IFERROR(VLOOKUP(B177,'(2)Check In'!$B$4:$I$848,7,FALSE),0)</f>
        <v>0</v>
      </c>
      <c r="J177" s="24">
        <f>IFERROR(VLOOKUP(B177,'(2)Check In'!$B$4:$I$848,8,FALSE),0)</f>
        <v>0</v>
      </c>
      <c r="K177" s="24" t="str">
        <f t="shared" ca="1" si="10"/>
        <v/>
      </c>
      <c r="L177" s="127" t="e">
        <f t="shared" ca="1" si="11"/>
        <v>#VALUE!</v>
      </c>
      <c r="M177" s="142">
        <f>COUNTIFS($H$3:H177,H177)</f>
        <v>74</v>
      </c>
      <c r="N177" s="142">
        <f>COUNTIFS(F$3:$F177,F177,H$3:$H177,H177,E$3:$E177,E177)</f>
        <v>74</v>
      </c>
      <c r="O177" s="142">
        <f>COUNTIFS($F$3:F177,F177,$H$3:H177,H177)</f>
        <v>74</v>
      </c>
    </row>
    <row r="178" spans="1:15" ht="36.6">
      <c r="A178" s="28">
        <v>175</v>
      </c>
      <c r="B178" s="54"/>
      <c r="C178" s="61">
        <f>IFERROR(VLOOKUP(B178,'Runner List'!$B$3:$O$505,5,FALSE),0)</f>
        <v>0</v>
      </c>
      <c r="D178" s="129">
        <f>IFERROR(VLOOKUP(B178,'Runner List'!$B$3:$O$505,6,FALSE),0)</f>
        <v>0</v>
      </c>
      <c r="E178" s="8">
        <f>IFERROR(VLOOKUP(B178,'Runner List'!$B$3:$O$505,7,FALSE),0)</f>
        <v>0</v>
      </c>
      <c r="F178" s="25">
        <f>IFERROR(VLOOKUP(B178,'Runner List'!$B$3:$O$505,8,FALSE),0)</f>
        <v>0</v>
      </c>
      <c r="G178" s="26">
        <f>IFERROR(VLOOKUP(B178,'Runner List'!$B$3:$O$505,9,FALSE),0)</f>
        <v>0</v>
      </c>
      <c r="H178" s="25">
        <f>IFERROR(VLOOKUP(B178,'Runner List'!$B$3:$O$505,10,FALSE),0)</f>
        <v>0</v>
      </c>
      <c r="I178" s="24">
        <f>IFERROR(VLOOKUP(B178,'(2)Check In'!$B$4:$I$848,7,FALSE),0)</f>
        <v>0</v>
      </c>
      <c r="J178" s="24">
        <f>IFERROR(VLOOKUP(B178,'(2)Check In'!$B$4:$I$848,8,FALSE),0)</f>
        <v>0</v>
      </c>
      <c r="K178" s="24" t="str">
        <f t="shared" ca="1" si="10"/>
        <v/>
      </c>
      <c r="L178" s="128" t="e">
        <f t="shared" ca="1" si="11"/>
        <v>#VALUE!</v>
      </c>
      <c r="M178" s="142">
        <f>COUNTIFS($H$3:H178,H178)</f>
        <v>75</v>
      </c>
      <c r="N178" s="142">
        <f>COUNTIFS(F$3:$F178,F178,H$3:$H178,H178,E$3:$E178,E178)</f>
        <v>75</v>
      </c>
      <c r="O178" s="142">
        <f>COUNTIFS($F$3:F178,F178,$H$3:H178,H178)</f>
        <v>75</v>
      </c>
    </row>
    <row r="179" spans="1:15" ht="36.6">
      <c r="A179" s="29">
        <v>176</v>
      </c>
      <c r="B179" s="54"/>
      <c r="C179" s="61">
        <f>IFERROR(VLOOKUP(B179,'Runner List'!$B$3:$O$505,5,FALSE),0)</f>
        <v>0</v>
      </c>
      <c r="D179" s="129">
        <f>IFERROR(VLOOKUP(B179,'Runner List'!$B$3:$O$505,6,FALSE),0)</f>
        <v>0</v>
      </c>
      <c r="E179" s="8">
        <f>IFERROR(VLOOKUP(B179,'Runner List'!$B$3:$O$505,7,FALSE),0)</f>
        <v>0</v>
      </c>
      <c r="F179" s="25">
        <f>IFERROR(VLOOKUP(B179,'Runner List'!$B$3:$O$505,8,FALSE),0)</f>
        <v>0</v>
      </c>
      <c r="G179" s="26">
        <f>IFERROR(VLOOKUP(B179,'Runner List'!$B$3:$O$505,9,FALSE),0)</f>
        <v>0</v>
      </c>
      <c r="H179" s="25">
        <f>IFERROR(VLOOKUP(B179,'Runner List'!$B$3:$O$505,10,FALSE),0)</f>
        <v>0</v>
      </c>
      <c r="I179" s="24">
        <f>IFERROR(VLOOKUP(B179,'(2)Check In'!$B$4:$I$848,7,FALSE),0)</f>
        <v>0</v>
      </c>
      <c r="J179" s="24">
        <f>IFERROR(VLOOKUP(B179,'(2)Check In'!$B$4:$I$848,8,FALSE),0)</f>
        <v>0</v>
      </c>
      <c r="K179" s="24" t="str">
        <f t="shared" ca="1" si="10"/>
        <v/>
      </c>
      <c r="L179" s="127" t="e">
        <f t="shared" ca="1" si="11"/>
        <v>#VALUE!</v>
      </c>
      <c r="M179" s="142">
        <f>COUNTIFS($H$3:H179,H179)</f>
        <v>76</v>
      </c>
      <c r="N179" s="142">
        <f>COUNTIFS(F$3:$F179,F179,H$3:$H179,H179,E$3:$E179,E179)</f>
        <v>76</v>
      </c>
      <c r="O179" s="142">
        <f>COUNTIFS($F$3:F179,F179,$H$3:H179,H179)</f>
        <v>76</v>
      </c>
    </row>
    <row r="180" spans="1:15" ht="36.6">
      <c r="A180" s="28">
        <v>177</v>
      </c>
      <c r="B180" s="54"/>
      <c r="C180" s="61">
        <f>IFERROR(VLOOKUP(B180,'Runner List'!$B$3:$O$505,5,FALSE),0)</f>
        <v>0</v>
      </c>
      <c r="D180" s="129">
        <f>IFERROR(VLOOKUP(B180,'Runner List'!$B$3:$O$505,6,FALSE),0)</f>
        <v>0</v>
      </c>
      <c r="E180" s="8">
        <f>IFERROR(VLOOKUP(B180,'Runner List'!$B$3:$O$505,7,FALSE),0)</f>
        <v>0</v>
      </c>
      <c r="F180" s="25">
        <f>IFERROR(VLOOKUP(B180,'Runner List'!$B$3:$O$505,8,FALSE),0)</f>
        <v>0</v>
      </c>
      <c r="G180" s="26">
        <f>IFERROR(VLOOKUP(B180,'Runner List'!$B$3:$O$505,9,FALSE),0)</f>
        <v>0</v>
      </c>
      <c r="H180" s="25">
        <f>IFERROR(VLOOKUP(B180,'Runner List'!$B$3:$O$505,10,FALSE),0)</f>
        <v>0</v>
      </c>
      <c r="I180" s="24">
        <f>IFERROR(VLOOKUP(B180,'(2)Check In'!$B$4:$I$848,7,FALSE),0)</f>
        <v>0</v>
      </c>
      <c r="J180" s="24">
        <f>IFERROR(VLOOKUP(B180,'(2)Check In'!$B$4:$I$848,8,FALSE),0)</f>
        <v>0</v>
      </c>
      <c r="K180" s="24" t="str">
        <f t="shared" ca="1" si="10"/>
        <v/>
      </c>
      <c r="L180" s="128" t="e">
        <f t="shared" ca="1" si="11"/>
        <v>#VALUE!</v>
      </c>
      <c r="M180" s="142">
        <f>COUNTIFS($H$3:H180,H180)</f>
        <v>77</v>
      </c>
      <c r="N180" s="142">
        <f>COUNTIFS(F$3:$F180,F180,H$3:$H180,H180,E$3:$E180,E180)</f>
        <v>77</v>
      </c>
      <c r="O180" s="142">
        <f>COUNTIFS($F$3:F180,F180,$H$3:H180,H180)</f>
        <v>77</v>
      </c>
    </row>
    <row r="181" spans="1:15" ht="36.6">
      <c r="A181" s="29">
        <v>178</v>
      </c>
      <c r="B181" s="54"/>
      <c r="C181" s="61">
        <f>IFERROR(VLOOKUP(B181,'Runner List'!$B$3:$O$505,5,FALSE),0)</f>
        <v>0</v>
      </c>
      <c r="D181" s="129">
        <f>IFERROR(VLOOKUP(B181,'Runner List'!$B$3:$O$505,6,FALSE),0)</f>
        <v>0</v>
      </c>
      <c r="E181" s="8">
        <f>IFERROR(VLOOKUP(B181,'Runner List'!$B$3:$O$505,7,FALSE),0)</f>
        <v>0</v>
      </c>
      <c r="F181" s="25">
        <f>IFERROR(VLOOKUP(B181,'Runner List'!$B$3:$O$505,8,FALSE),0)</f>
        <v>0</v>
      </c>
      <c r="G181" s="26">
        <f>IFERROR(VLOOKUP(B181,'Runner List'!$B$3:$O$505,9,FALSE),0)</f>
        <v>0</v>
      </c>
      <c r="H181" s="25">
        <f>IFERROR(VLOOKUP(B181,'Runner List'!$B$3:$O$505,10,FALSE),0)</f>
        <v>0</v>
      </c>
      <c r="I181" s="24">
        <f>IFERROR(VLOOKUP(B181,'(2)Check In'!$B$4:$I$848,7,FALSE),0)</f>
        <v>0</v>
      </c>
      <c r="J181" s="24">
        <f>IFERROR(VLOOKUP(B181,'(2)Check In'!$B$4:$I$848,8,FALSE),0)</f>
        <v>0</v>
      </c>
      <c r="K181" s="24" t="str">
        <f t="shared" ca="1" si="10"/>
        <v/>
      </c>
      <c r="L181" s="127" t="e">
        <f t="shared" ca="1" si="11"/>
        <v>#VALUE!</v>
      </c>
      <c r="M181" s="142">
        <f>COUNTIFS($H$3:H181,H181)</f>
        <v>78</v>
      </c>
      <c r="N181" s="142">
        <f>COUNTIFS(F$3:$F181,F181,H$3:$H181,H181,E$3:$E181,E181)</f>
        <v>78</v>
      </c>
      <c r="O181" s="142">
        <f>COUNTIFS($F$3:F181,F181,$H$3:H181,H181)</f>
        <v>78</v>
      </c>
    </row>
    <row r="182" spans="1:15" ht="36.6">
      <c r="A182" s="28">
        <v>179</v>
      </c>
      <c r="B182" s="54"/>
      <c r="C182" s="61">
        <f>IFERROR(VLOOKUP(B182,'Runner List'!$B$3:$O$505,5,FALSE),0)</f>
        <v>0</v>
      </c>
      <c r="D182" s="129">
        <f>IFERROR(VLOOKUP(B182,'Runner List'!$B$3:$O$505,6,FALSE),0)</f>
        <v>0</v>
      </c>
      <c r="E182" s="8">
        <f>IFERROR(VLOOKUP(B182,'Runner List'!$B$3:$O$505,7,FALSE),0)</f>
        <v>0</v>
      </c>
      <c r="F182" s="25">
        <f>IFERROR(VLOOKUP(B182,'Runner List'!$B$3:$O$505,8,FALSE),0)</f>
        <v>0</v>
      </c>
      <c r="G182" s="26">
        <f>IFERROR(VLOOKUP(B182,'Runner List'!$B$3:$O$505,9,FALSE),0)</f>
        <v>0</v>
      </c>
      <c r="H182" s="25">
        <f>IFERROR(VLOOKUP(B182,'Runner List'!$B$3:$O$505,10,FALSE),0)</f>
        <v>0</v>
      </c>
      <c r="I182" s="24">
        <f>IFERROR(VLOOKUP(B182,'(2)Check In'!$B$4:$I$848,7,FALSE),0)</f>
        <v>0</v>
      </c>
      <c r="J182" s="24">
        <f>IFERROR(VLOOKUP(B182,'(2)Check In'!$B$4:$I$848,8,FALSE),0)</f>
        <v>0</v>
      </c>
      <c r="K182" s="24" t="str">
        <f t="shared" ca="1" si="10"/>
        <v/>
      </c>
      <c r="L182" s="128" t="e">
        <f t="shared" ca="1" si="11"/>
        <v>#VALUE!</v>
      </c>
      <c r="M182" s="142">
        <f>COUNTIFS($H$3:H182,H182)</f>
        <v>79</v>
      </c>
      <c r="N182" s="142">
        <f>COUNTIFS(F$3:$F182,F182,H$3:$H182,H182,E$3:$E182,E182)</f>
        <v>79</v>
      </c>
      <c r="O182" s="142">
        <f>COUNTIFS($F$3:F182,F182,$H$3:H182,H182)</f>
        <v>79</v>
      </c>
    </row>
    <row r="183" spans="1:15" ht="36.6">
      <c r="A183" s="29">
        <v>180</v>
      </c>
      <c r="B183" s="54"/>
      <c r="C183" s="61">
        <f>IFERROR(VLOOKUP(B183,'Runner List'!$B$3:$O$505,5,FALSE),0)</f>
        <v>0</v>
      </c>
      <c r="D183" s="129">
        <f>IFERROR(VLOOKUP(B183,'Runner List'!$B$3:$O$505,6,FALSE),0)</f>
        <v>0</v>
      </c>
      <c r="E183" s="8">
        <f>IFERROR(VLOOKUP(B183,'Runner List'!$B$3:$O$505,7,FALSE),0)</f>
        <v>0</v>
      </c>
      <c r="F183" s="25">
        <f>IFERROR(VLOOKUP(B183,'Runner List'!$B$3:$O$505,8,FALSE),0)</f>
        <v>0</v>
      </c>
      <c r="G183" s="26">
        <f>IFERROR(VLOOKUP(B183,'Runner List'!$B$3:$O$505,9,FALSE),0)</f>
        <v>0</v>
      </c>
      <c r="H183" s="25">
        <f>IFERROR(VLOOKUP(B183,'Runner List'!$B$3:$O$505,10,FALSE),0)</f>
        <v>0</v>
      </c>
      <c r="I183" s="24">
        <f>IFERROR(VLOOKUP(B183,'(2)Check In'!$B$4:$I$848,7,FALSE),0)</f>
        <v>0</v>
      </c>
      <c r="J183" s="24">
        <f>IFERROR(VLOOKUP(B183,'(2)Check In'!$B$4:$I$848,8,FALSE),0)</f>
        <v>0</v>
      </c>
      <c r="K183" s="24" t="str">
        <f t="shared" ca="1" si="10"/>
        <v/>
      </c>
      <c r="L183" s="127" t="e">
        <f t="shared" ca="1" si="11"/>
        <v>#VALUE!</v>
      </c>
      <c r="M183" s="142">
        <f>COUNTIFS($H$3:H183,H183)</f>
        <v>80</v>
      </c>
      <c r="N183" s="142">
        <f>COUNTIFS(F$3:$F183,F183,H$3:$H183,H183,E$3:$E183,E183)</f>
        <v>80</v>
      </c>
      <c r="O183" s="142">
        <f>COUNTIFS($F$3:F183,F183,$H$3:H183,H183)</f>
        <v>80</v>
      </c>
    </row>
    <row r="184" spans="1:15" ht="36.6">
      <c r="A184" s="28">
        <v>181</v>
      </c>
      <c r="B184" s="54"/>
      <c r="C184" s="61">
        <f>IFERROR(VLOOKUP(B184,'Runner List'!$B$3:$O$505,5,FALSE),0)</f>
        <v>0</v>
      </c>
      <c r="D184" s="129">
        <f>IFERROR(VLOOKUP(B184,'Runner List'!$B$3:$O$505,6,FALSE),0)</f>
        <v>0</v>
      </c>
      <c r="E184" s="8">
        <f>IFERROR(VLOOKUP(B184,'Runner List'!$B$3:$O$505,7,FALSE),0)</f>
        <v>0</v>
      </c>
      <c r="F184" s="25">
        <f>IFERROR(VLOOKUP(B184,'Runner List'!$B$3:$O$505,8,FALSE),0)</f>
        <v>0</v>
      </c>
      <c r="G184" s="26">
        <f>IFERROR(VLOOKUP(B184,'Runner List'!$B$3:$O$505,9,FALSE),0)</f>
        <v>0</v>
      </c>
      <c r="H184" s="25">
        <f>IFERROR(VLOOKUP(B184,'Runner List'!$B$3:$O$505,10,FALSE),0)</f>
        <v>0</v>
      </c>
      <c r="I184" s="24">
        <f>IFERROR(VLOOKUP(B184,'(2)Check In'!$B$4:$I$848,7,FALSE),0)</f>
        <v>0</v>
      </c>
      <c r="J184" s="24">
        <f>IFERROR(VLOOKUP(B184,'(2)Check In'!$B$4:$I$848,8,FALSE),0)</f>
        <v>0</v>
      </c>
      <c r="K184" s="24" t="str">
        <f t="shared" ref="K184:K192" ca="1" si="12">IF(B184="","",IF(K184="",NOW(),K184))</f>
        <v/>
      </c>
      <c r="L184" s="128" t="e">
        <f t="shared" ref="L184:L192" ca="1" si="13">K184-J184</f>
        <v>#VALUE!</v>
      </c>
      <c r="M184" s="142">
        <f>COUNTIFS($H$3:H184,H184)</f>
        <v>81</v>
      </c>
      <c r="N184" s="142">
        <f>COUNTIFS(F$3:$F184,F184,H$3:$H184,H184,E$3:$E184,E184)</f>
        <v>81</v>
      </c>
      <c r="O184" s="142">
        <f>COUNTIFS($F$3:F184,F184,$H$3:H184,H184)</f>
        <v>81</v>
      </c>
    </row>
    <row r="185" spans="1:15" ht="36.6">
      <c r="A185" s="29">
        <v>182</v>
      </c>
      <c r="B185" s="54"/>
      <c r="C185" s="61">
        <f>IFERROR(VLOOKUP(B185,'Runner List'!$B$3:$O$505,5,FALSE),0)</f>
        <v>0</v>
      </c>
      <c r="D185" s="129">
        <f>IFERROR(VLOOKUP(B185,'Runner List'!$B$3:$O$505,6,FALSE),0)</f>
        <v>0</v>
      </c>
      <c r="E185" s="8">
        <f>IFERROR(VLOOKUP(B185,'Runner List'!$B$3:$O$505,7,FALSE),0)</f>
        <v>0</v>
      </c>
      <c r="F185" s="25">
        <f>IFERROR(VLOOKUP(B185,'Runner List'!$B$3:$O$505,8,FALSE),0)</f>
        <v>0</v>
      </c>
      <c r="G185" s="26">
        <f>IFERROR(VLOOKUP(B185,'Runner List'!$B$3:$O$505,9,FALSE),0)</f>
        <v>0</v>
      </c>
      <c r="H185" s="25">
        <f>IFERROR(VLOOKUP(B185,'Runner List'!$B$3:$O$505,10,FALSE),0)</f>
        <v>0</v>
      </c>
      <c r="I185" s="24">
        <f>IFERROR(VLOOKUP(B185,'(2)Check In'!$B$4:$I$848,7,FALSE),0)</f>
        <v>0</v>
      </c>
      <c r="J185" s="24">
        <f>IFERROR(VLOOKUP(B185,'(2)Check In'!$B$4:$I$848,8,FALSE),0)</f>
        <v>0</v>
      </c>
      <c r="K185" s="24" t="str">
        <f t="shared" ca="1" si="12"/>
        <v/>
      </c>
      <c r="L185" s="127" t="e">
        <f t="shared" ca="1" si="13"/>
        <v>#VALUE!</v>
      </c>
      <c r="M185" s="142">
        <f>COUNTIFS($H$3:H185,H185)</f>
        <v>82</v>
      </c>
      <c r="N185" s="142">
        <f>COUNTIFS(F$3:$F185,F185,H$3:$H185,H185,E$3:$E185,E185)</f>
        <v>82</v>
      </c>
      <c r="O185" s="142">
        <f>COUNTIFS($F$3:F185,F185,$H$3:H185,H185)</f>
        <v>82</v>
      </c>
    </row>
    <row r="186" spans="1:15" ht="36.6">
      <c r="A186" s="28">
        <v>183</v>
      </c>
      <c r="B186" s="54"/>
      <c r="C186" s="61">
        <f>IFERROR(VLOOKUP(B186,'Runner List'!$B$3:$O$505,5,FALSE),0)</f>
        <v>0</v>
      </c>
      <c r="D186" s="129">
        <f>IFERROR(VLOOKUP(B186,'Runner List'!$B$3:$O$505,6,FALSE),0)</f>
        <v>0</v>
      </c>
      <c r="E186" s="8">
        <f>IFERROR(VLOOKUP(B186,'Runner List'!$B$3:$O$505,7,FALSE),0)</f>
        <v>0</v>
      </c>
      <c r="F186" s="25">
        <f>IFERROR(VLOOKUP(B186,'Runner List'!$B$3:$O$505,8,FALSE),0)</f>
        <v>0</v>
      </c>
      <c r="G186" s="26">
        <f>IFERROR(VLOOKUP(B186,'Runner List'!$B$3:$O$505,9,FALSE),0)</f>
        <v>0</v>
      </c>
      <c r="H186" s="25">
        <f>IFERROR(VLOOKUP(B186,'Runner List'!$B$3:$O$505,10,FALSE),0)</f>
        <v>0</v>
      </c>
      <c r="I186" s="24">
        <f>IFERROR(VLOOKUP(B186,'(2)Check In'!$B$4:$I$848,7,FALSE),0)</f>
        <v>0</v>
      </c>
      <c r="J186" s="24">
        <f>IFERROR(VLOOKUP(B186,'(2)Check In'!$B$4:$I$848,8,FALSE),0)</f>
        <v>0</v>
      </c>
      <c r="K186" s="24" t="str">
        <f t="shared" ca="1" si="12"/>
        <v/>
      </c>
      <c r="L186" s="128" t="e">
        <f t="shared" ca="1" si="13"/>
        <v>#VALUE!</v>
      </c>
      <c r="M186" s="142">
        <f>COUNTIFS($H$3:H186,H186)</f>
        <v>83</v>
      </c>
      <c r="N186" s="142">
        <f>COUNTIFS(F$3:$F186,F186,H$3:$H186,H186,E$3:$E186,E186)</f>
        <v>83</v>
      </c>
      <c r="O186" s="142">
        <f>COUNTIFS($F$3:F186,F186,$H$3:H186,H186)</f>
        <v>83</v>
      </c>
    </row>
    <row r="187" spans="1:15" ht="36.6">
      <c r="A187" s="29">
        <v>184</v>
      </c>
      <c r="B187" s="54"/>
      <c r="C187" s="61">
        <f>IFERROR(VLOOKUP(B187,'Runner List'!$B$3:$O$505,5,FALSE),0)</f>
        <v>0</v>
      </c>
      <c r="D187" s="129">
        <f>IFERROR(VLOOKUP(B187,'Runner List'!$B$3:$O$505,6,FALSE),0)</f>
        <v>0</v>
      </c>
      <c r="E187" s="8">
        <f>IFERROR(VLOOKUP(B187,'Runner List'!$B$3:$O$505,7,FALSE),0)</f>
        <v>0</v>
      </c>
      <c r="F187" s="25">
        <f>IFERROR(VLOOKUP(B187,'Runner List'!$B$3:$O$505,8,FALSE),0)</f>
        <v>0</v>
      </c>
      <c r="G187" s="26">
        <f>IFERROR(VLOOKUP(B187,'Runner List'!$B$3:$O$505,9,FALSE),0)</f>
        <v>0</v>
      </c>
      <c r="H187" s="25">
        <f>IFERROR(VLOOKUP(B187,'Runner List'!$B$3:$O$505,10,FALSE),0)</f>
        <v>0</v>
      </c>
      <c r="I187" s="24">
        <f>IFERROR(VLOOKUP(B187,'(2)Check In'!$B$4:$I$848,7,FALSE),0)</f>
        <v>0</v>
      </c>
      <c r="J187" s="24">
        <f>IFERROR(VLOOKUP(B187,'(2)Check In'!$B$4:$I$848,8,FALSE),0)</f>
        <v>0</v>
      </c>
      <c r="K187" s="24" t="str">
        <f t="shared" ca="1" si="12"/>
        <v/>
      </c>
      <c r="L187" s="127" t="e">
        <f t="shared" ca="1" si="13"/>
        <v>#VALUE!</v>
      </c>
      <c r="M187" s="142">
        <f>COUNTIFS($H$3:H187,H187)</f>
        <v>84</v>
      </c>
      <c r="N187" s="142">
        <f>COUNTIFS(F$3:$F187,F187,H$3:$H187,H187,E$3:$E187,E187)</f>
        <v>84</v>
      </c>
      <c r="O187" s="142">
        <f>COUNTIFS($F$3:F187,F187,$H$3:H187,H187)</f>
        <v>84</v>
      </c>
    </row>
    <row r="188" spans="1:15" ht="36.6">
      <c r="A188" s="28">
        <v>185</v>
      </c>
      <c r="B188" s="54"/>
      <c r="C188" s="61">
        <f>IFERROR(VLOOKUP(B188,'Runner List'!$B$3:$O$505,5,FALSE),0)</f>
        <v>0</v>
      </c>
      <c r="D188" s="129">
        <f>IFERROR(VLOOKUP(B188,'Runner List'!$B$3:$O$505,6,FALSE),0)</f>
        <v>0</v>
      </c>
      <c r="E188" s="8">
        <f>IFERROR(VLOOKUP(B188,'Runner List'!$B$3:$O$505,7,FALSE),0)</f>
        <v>0</v>
      </c>
      <c r="F188" s="25">
        <f>IFERROR(VLOOKUP(B188,'Runner List'!$B$3:$O$505,8,FALSE),0)</f>
        <v>0</v>
      </c>
      <c r="G188" s="26">
        <f>IFERROR(VLOOKUP(B188,'Runner List'!$B$3:$O$505,9,FALSE),0)</f>
        <v>0</v>
      </c>
      <c r="H188" s="25">
        <f>IFERROR(VLOOKUP(B188,'Runner List'!$B$3:$O$505,10,FALSE),0)</f>
        <v>0</v>
      </c>
      <c r="I188" s="24">
        <f>IFERROR(VLOOKUP(B188,'(2)Check In'!$B$4:$I$848,7,FALSE),0)</f>
        <v>0</v>
      </c>
      <c r="J188" s="24">
        <f>IFERROR(VLOOKUP(B188,'(2)Check In'!$B$4:$I$848,8,FALSE),0)</f>
        <v>0</v>
      </c>
      <c r="K188" s="24" t="str">
        <f t="shared" ca="1" si="12"/>
        <v/>
      </c>
      <c r="L188" s="128" t="e">
        <f t="shared" ca="1" si="13"/>
        <v>#VALUE!</v>
      </c>
      <c r="M188" s="142">
        <f>COUNTIFS($H$3:H188,H188)</f>
        <v>85</v>
      </c>
      <c r="N188" s="142">
        <f>COUNTIFS(F$3:$F188,F188,H$3:$H188,H188,E$3:$E188,E188)</f>
        <v>85</v>
      </c>
      <c r="O188" s="142">
        <f>COUNTIFS($F$3:F188,F188,$H$3:H188,H188)</f>
        <v>85</v>
      </c>
    </row>
    <row r="189" spans="1:15" ht="36.6">
      <c r="A189" s="29">
        <v>186</v>
      </c>
      <c r="B189" s="54"/>
      <c r="C189" s="61">
        <f>IFERROR(VLOOKUP(B189,'Runner List'!$B$3:$O$505,5,FALSE),0)</f>
        <v>0</v>
      </c>
      <c r="D189" s="129">
        <f>IFERROR(VLOOKUP(B189,'Runner List'!$B$3:$O$505,6,FALSE),0)</f>
        <v>0</v>
      </c>
      <c r="E189" s="8">
        <f>IFERROR(VLOOKUP(B189,'Runner List'!$B$3:$O$505,7,FALSE),0)</f>
        <v>0</v>
      </c>
      <c r="F189" s="25">
        <f>IFERROR(VLOOKUP(B189,'Runner List'!$B$3:$O$505,8,FALSE),0)</f>
        <v>0</v>
      </c>
      <c r="G189" s="26">
        <f>IFERROR(VLOOKUP(B189,'Runner List'!$B$3:$O$505,9,FALSE),0)</f>
        <v>0</v>
      </c>
      <c r="H189" s="25">
        <f>IFERROR(VLOOKUP(B189,'Runner List'!$B$3:$O$505,10,FALSE),0)</f>
        <v>0</v>
      </c>
      <c r="I189" s="24">
        <f>IFERROR(VLOOKUP(B189,'(2)Check In'!$B$4:$I$848,7,FALSE),0)</f>
        <v>0</v>
      </c>
      <c r="J189" s="24">
        <f>IFERROR(VLOOKUP(B189,'(2)Check In'!$B$4:$I$848,8,FALSE),0)</f>
        <v>0</v>
      </c>
      <c r="K189" s="24" t="str">
        <f t="shared" ca="1" si="12"/>
        <v/>
      </c>
      <c r="L189" s="127" t="e">
        <f t="shared" ca="1" si="13"/>
        <v>#VALUE!</v>
      </c>
      <c r="M189" s="142">
        <f>COUNTIFS($H$3:H189,H189)</f>
        <v>86</v>
      </c>
      <c r="N189" s="142">
        <f>COUNTIFS(F$3:$F189,F189,H$3:$H189,H189,E$3:$E189,E189)</f>
        <v>86</v>
      </c>
      <c r="O189" s="142">
        <f>COUNTIFS($F$3:F189,F189,$H$3:H189,H189)</f>
        <v>86</v>
      </c>
    </row>
    <row r="190" spans="1:15" ht="36.6">
      <c r="A190" s="28">
        <v>187</v>
      </c>
      <c r="B190" s="54"/>
      <c r="C190" s="61">
        <f>IFERROR(VLOOKUP(B190,'Runner List'!$B$3:$O$505,5,FALSE),0)</f>
        <v>0</v>
      </c>
      <c r="D190" s="129">
        <f>IFERROR(VLOOKUP(B190,'Runner List'!$B$3:$O$505,6,FALSE),0)</f>
        <v>0</v>
      </c>
      <c r="E190" s="8">
        <f>IFERROR(VLOOKUP(B190,'Runner List'!$B$3:$O$505,7,FALSE),0)</f>
        <v>0</v>
      </c>
      <c r="F190" s="25">
        <f>IFERROR(VLOOKUP(B190,'Runner List'!$B$3:$O$505,8,FALSE),0)</f>
        <v>0</v>
      </c>
      <c r="G190" s="26">
        <f>IFERROR(VLOOKUP(B190,'Runner List'!$B$3:$O$505,9,FALSE),0)</f>
        <v>0</v>
      </c>
      <c r="H190" s="25">
        <f>IFERROR(VLOOKUP(B190,'Runner List'!$B$3:$O$505,10,FALSE),0)</f>
        <v>0</v>
      </c>
      <c r="I190" s="24">
        <f>IFERROR(VLOOKUP(B190,'(2)Check In'!$B$4:$I$848,7,FALSE),0)</f>
        <v>0</v>
      </c>
      <c r="J190" s="24">
        <f>IFERROR(VLOOKUP(B190,'(2)Check In'!$B$4:$I$848,8,FALSE),0)</f>
        <v>0</v>
      </c>
      <c r="K190" s="24" t="str">
        <f t="shared" ca="1" si="12"/>
        <v/>
      </c>
      <c r="L190" s="128" t="e">
        <f t="shared" ca="1" si="13"/>
        <v>#VALUE!</v>
      </c>
      <c r="M190" s="142">
        <f>COUNTIFS($H$3:H190,H190)</f>
        <v>87</v>
      </c>
      <c r="N190" s="142">
        <f>COUNTIFS(F$3:$F190,F190,H$3:$H190,H190,E$3:$E190,E190)</f>
        <v>87</v>
      </c>
      <c r="O190" s="142">
        <f>COUNTIFS($F$3:F190,F190,$H$3:H190,H190)</f>
        <v>87</v>
      </c>
    </row>
    <row r="191" spans="1:15" ht="36.6">
      <c r="A191" s="29">
        <v>188</v>
      </c>
      <c r="B191" s="54"/>
      <c r="C191" s="61">
        <f>IFERROR(VLOOKUP(B191,'Runner List'!$B$3:$O$505,5,FALSE),0)</f>
        <v>0</v>
      </c>
      <c r="D191" s="129">
        <f>IFERROR(VLOOKUP(B191,'Runner List'!$B$3:$O$505,6,FALSE),0)</f>
        <v>0</v>
      </c>
      <c r="E191" s="8">
        <f>IFERROR(VLOOKUP(B191,'Runner List'!$B$3:$O$505,7,FALSE),0)</f>
        <v>0</v>
      </c>
      <c r="F191" s="25">
        <f>IFERROR(VLOOKUP(B191,'Runner List'!$B$3:$O$505,8,FALSE),0)</f>
        <v>0</v>
      </c>
      <c r="G191" s="26">
        <f>IFERROR(VLOOKUP(B191,'Runner List'!$B$3:$O$505,9,FALSE),0)</f>
        <v>0</v>
      </c>
      <c r="H191" s="25">
        <f>IFERROR(VLOOKUP(B191,'Runner List'!$B$3:$O$505,10,FALSE),0)</f>
        <v>0</v>
      </c>
      <c r="I191" s="24">
        <f>IFERROR(VLOOKUP(B191,'(2)Check In'!$B$4:$I$848,7,FALSE),0)</f>
        <v>0</v>
      </c>
      <c r="J191" s="24">
        <f>IFERROR(VLOOKUP(B191,'(2)Check In'!$B$4:$I$848,8,FALSE),0)</f>
        <v>0</v>
      </c>
      <c r="K191" s="24" t="str">
        <f t="shared" ca="1" si="12"/>
        <v/>
      </c>
      <c r="L191" s="127" t="e">
        <f t="shared" ca="1" si="13"/>
        <v>#VALUE!</v>
      </c>
      <c r="M191" s="142">
        <f>COUNTIFS($H$3:H191,H191)</f>
        <v>88</v>
      </c>
      <c r="N191" s="142">
        <f>COUNTIFS(F$3:$F191,F191,H$3:$H191,H191,E$3:$E191,E191)</f>
        <v>88</v>
      </c>
      <c r="O191" s="142">
        <f>COUNTIFS($F$3:F191,F191,$H$3:H191,H191)</f>
        <v>88</v>
      </c>
    </row>
    <row r="192" spans="1:15" ht="36.6">
      <c r="A192" s="28">
        <v>189</v>
      </c>
      <c r="B192" s="54"/>
      <c r="C192" s="61">
        <f>IFERROR(VLOOKUP(B192,'Runner List'!$B$3:$O$505,5,FALSE),0)</f>
        <v>0</v>
      </c>
      <c r="D192" s="129">
        <f>IFERROR(VLOOKUP(B192,'Runner List'!$B$3:$O$505,6,FALSE),0)</f>
        <v>0</v>
      </c>
      <c r="E192" s="8">
        <f>IFERROR(VLOOKUP(B192,'Runner List'!$B$3:$O$505,7,FALSE),0)</f>
        <v>0</v>
      </c>
      <c r="F192" s="25">
        <f>IFERROR(VLOOKUP(B192,'Runner List'!$B$3:$O$505,8,FALSE),0)</f>
        <v>0</v>
      </c>
      <c r="G192" s="26">
        <f>IFERROR(VLOOKUP(B192,'Runner List'!$B$3:$O$505,9,FALSE),0)</f>
        <v>0</v>
      </c>
      <c r="H192" s="25">
        <f>IFERROR(VLOOKUP(B192,'Runner List'!$B$3:$O$505,10,FALSE),0)</f>
        <v>0</v>
      </c>
      <c r="I192" s="24">
        <f>IFERROR(VLOOKUP(B192,'(2)Check In'!$B$4:$I$848,7,FALSE),0)</f>
        <v>0</v>
      </c>
      <c r="J192" s="24">
        <f>IFERROR(VLOOKUP(B192,'(2)Check In'!$B$4:$I$848,8,FALSE),0)</f>
        <v>0</v>
      </c>
      <c r="K192" s="24" t="str">
        <f t="shared" ca="1" si="12"/>
        <v/>
      </c>
      <c r="L192" s="128" t="e">
        <f t="shared" ca="1" si="13"/>
        <v>#VALUE!</v>
      </c>
      <c r="M192" s="142">
        <f>COUNTIFS($H$3:H192,H192)</f>
        <v>89</v>
      </c>
      <c r="N192" s="142">
        <f>COUNTIFS(F$3:$F192,F192,H$3:$H192,H192,E$3:$E192,E192)</f>
        <v>89</v>
      </c>
      <c r="O192" s="142">
        <f>COUNTIFS($F$3:F192,F192,$H$3:H192,H192)</f>
        <v>89</v>
      </c>
    </row>
    <row r="193" spans="1:15" ht="36.6">
      <c r="A193" s="29">
        <v>190</v>
      </c>
      <c r="B193" s="54"/>
      <c r="C193" s="61">
        <f>IFERROR(VLOOKUP(B193,'Runner List'!$B$3:$O$505,5,FALSE),0)</f>
        <v>0</v>
      </c>
      <c r="D193" s="129">
        <f>IFERROR(VLOOKUP(B193,'Runner List'!$B$3:$O$505,6,FALSE),0)</f>
        <v>0</v>
      </c>
      <c r="E193" s="8">
        <f>IFERROR(VLOOKUP(B193,'Runner List'!$B$3:$O$505,7,FALSE),0)</f>
        <v>0</v>
      </c>
      <c r="F193" s="25">
        <f>IFERROR(VLOOKUP(B193,'Runner List'!$B$3:$O$505,8,FALSE),0)</f>
        <v>0</v>
      </c>
      <c r="G193" s="26">
        <f>IFERROR(VLOOKUP(B193,'Runner List'!$B$3:$O$505,9,FALSE),0)</f>
        <v>0</v>
      </c>
      <c r="H193" s="25">
        <f>IFERROR(VLOOKUP(B193,'Runner List'!$B$3:$O$505,10,FALSE),0)</f>
        <v>0</v>
      </c>
      <c r="I193" s="24">
        <f>IFERROR(VLOOKUP(B193,'(2)Check In'!$B$4:$I$848,7,FALSE),0)</f>
        <v>0</v>
      </c>
      <c r="J193" s="24">
        <f>IFERROR(VLOOKUP(B193,'(2)Check In'!$B$4:$I$848,8,FALSE),0)</f>
        <v>0</v>
      </c>
      <c r="K193" s="24" t="str">
        <f t="shared" ref="K193:K200" ca="1" si="14">IF(B193="","",IF(K193="",NOW(),K193))</f>
        <v/>
      </c>
      <c r="L193" s="127" t="e">
        <f t="shared" ref="L193:L200" ca="1" si="15">K193-J193</f>
        <v>#VALUE!</v>
      </c>
      <c r="M193" s="142">
        <f>COUNTIFS($H$3:H193,H193)</f>
        <v>90</v>
      </c>
      <c r="N193" s="142">
        <f>COUNTIFS(F$3:$F193,F193,H$3:$H193,H193,E$3:$E193,E193)</f>
        <v>90</v>
      </c>
      <c r="O193" s="142">
        <f>COUNTIFS($F$3:F193,F193,$H$3:H193,H193)</f>
        <v>90</v>
      </c>
    </row>
    <row r="194" spans="1:15" ht="36.6">
      <c r="A194" s="28">
        <v>191</v>
      </c>
      <c r="B194" s="54"/>
      <c r="C194" s="61">
        <f>IFERROR(VLOOKUP(B194,'Runner List'!$B$3:$O$505,5,FALSE),0)</f>
        <v>0</v>
      </c>
      <c r="D194" s="129">
        <f>IFERROR(VLOOKUP(B194,'Runner List'!$B$3:$O$505,6,FALSE),0)</f>
        <v>0</v>
      </c>
      <c r="E194" s="8">
        <f>IFERROR(VLOOKUP(B194,'Runner List'!$B$3:$O$505,7,FALSE),0)</f>
        <v>0</v>
      </c>
      <c r="F194" s="25">
        <f>IFERROR(VLOOKUP(B194,'Runner List'!$B$3:$O$505,8,FALSE),0)</f>
        <v>0</v>
      </c>
      <c r="G194" s="26">
        <f>IFERROR(VLOOKUP(B194,'Runner List'!$B$3:$O$505,9,FALSE),0)</f>
        <v>0</v>
      </c>
      <c r="H194" s="25">
        <f>IFERROR(VLOOKUP(B194,'Runner List'!$B$3:$O$505,10,FALSE),0)</f>
        <v>0</v>
      </c>
      <c r="I194" s="24">
        <f>IFERROR(VLOOKUP(B194,'(2)Check In'!$B$4:$I$848,7,FALSE),0)</f>
        <v>0</v>
      </c>
      <c r="J194" s="24">
        <f>IFERROR(VLOOKUP(B194,'(2)Check In'!$B$4:$I$848,8,FALSE),0)</f>
        <v>0</v>
      </c>
      <c r="K194" s="24" t="str">
        <f t="shared" ca="1" si="14"/>
        <v/>
      </c>
      <c r="L194" s="128" t="e">
        <f t="shared" ca="1" si="15"/>
        <v>#VALUE!</v>
      </c>
      <c r="M194" s="142">
        <f>COUNTIFS($H$3:H194,H194)</f>
        <v>91</v>
      </c>
      <c r="N194" s="142">
        <f>COUNTIFS(F$3:$F194,F194,H$3:$H194,H194,E$3:$E194,E194)</f>
        <v>91</v>
      </c>
      <c r="O194" s="142">
        <f>COUNTIFS($F$3:F194,F194,$H$3:H194,H194)</f>
        <v>91</v>
      </c>
    </row>
    <row r="195" spans="1:15" ht="36.6">
      <c r="A195" s="29">
        <v>192</v>
      </c>
      <c r="B195" s="54"/>
      <c r="C195" s="61">
        <f>IFERROR(VLOOKUP(B195,'Runner List'!$B$3:$O$505,5,FALSE),0)</f>
        <v>0</v>
      </c>
      <c r="D195" s="129">
        <f>IFERROR(VLOOKUP(B195,'Runner List'!$B$3:$O$505,6,FALSE),0)</f>
        <v>0</v>
      </c>
      <c r="E195" s="8">
        <f>IFERROR(VLOOKUP(B195,'Runner List'!$B$3:$O$505,7,FALSE),0)</f>
        <v>0</v>
      </c>
      <c r="F195" s="25">
        <f>IFERROR(VLOOKUP(B195,'Runner List'!$B$3:$O$505,8,FALSE),0)</f>
        <v>0</v>
      </c>
      <c r="G195" s="26">
        <f>IFERROR(VLOOKUP(B195,'Runner List'!$B$3:$O$505,9,FALSE),0)</f>
        <v>0</v>
      </c>
      <c r="H195" s="25">
        <f>IFERROR(VLOOKUP(B195,'Runner List'!$B$3:$O$505,10,FALSE),0)</f>
        <v>0</v>
      </c>
      <c r="I195" s="24">
        <f>IFERROR(VLOOKUP(B195,'(2)Check In'!$B$4:$I$848,7,FALSE),0)</f>
        <v>0</v>
      </c>
      <c r="J195" s="24">
        <f>IFERROR(VLOOKUP(B195,'(2)Check In'!$B$4:$I$848,8,FALSE),0)</f>
        <v>0</v>
      </c>
      <c r="K195" s="24" t="str">
        <f t="shared" ca="1" si="14"/>
        <v/>
      </c>
      <c r="L195" s="127" t="e">
        <f t="shared" ca="1" si="15"/>
        <v>#VALUE!</v>
      </c>
      <c r="M195" s="142">
        <f>COUNTIFS($H$3:H195,H195)</f>
        <v>92</v>
      </c>
      <c r="N195" s="142">
        <f>COUNTIFS(F$3:$F195,F195,H$3:$H195,H195,E$3:$E195,E195)</f>
        <v>92</v>
      </c>
      <c r="O195" s="142">
        <f>COUNTIFS($F$3:F195,F195,$H$3:H195,H195)</f>
        <v>92</v>
      </c>
    </row>
    <row r="196" spans="1:15" ht="36.6">
      <c r="A196" s="28">
        <v>193</v>
      </c>
      <c r="B196" s="54"/>
      <c r="C196" s="61">
        <f>IFERROR(VLOOKUP(B196,'Runner List'!$B$3:$O$505,5,FALSE),0)</f>
        <v>0</v>
      </c>
      <c r="D196" s="129">
        <f>IFERROR(VLOOKUP(B196,'Runner List'!$B$3:$O$505,6,FALSE),0)</f>
        <v>0</v>
      </c>
      <c r="E196" s="8">
        <f>IFERROR(VLOOKUP(B196,'Runner List'!$B$3:$O$505,7,FALSE),0)</f>
        <v>0</v>
      </c>
      <c r="F196" s="25">
        <f>IFERROR(VLOOKUP(B196,'Runner List'!$B$3:$O$505,8,FALSE),0)</f>
        <v>0</v>
      </c>
      <c r="G196" s="26">
        <f>IFERROR(VLOOKUP(B196,'Runner List'!$B$3:$O$505,9,FALSE),0)</f>
        <v>0</v>
      </c>
      <c r="H196" s="25">
        <f>IFERROR(VLOOKUP(B196,'Runner List'!$B$3:$O$505,10,FALSE),0)</f>
        <v>0</v>
      </c>
      <c r="I196" s="24">
        <f>IFERROR(VLOOKUP(B196,'(2)Check In'!$B$4:$I$848,7,FALSE),0)</f>
        <v>0</v>
      </c>
      <c r="J196" s="24">
        <f>IFERROR(VLOOKUP(B196,'(2)Check In'!$B$4:$I$848,8,FALSE),0)</f>
        <v>0</v>
      </c>
      <c r="K196" s="24" t="str">
        <f t="shared" ca="1" si="14"/>
        <v/>
      </c>
      <c r="L196" s="128" t="e">
        <f t="shared" ca="1" si="15"/>
        <v>#VALUE!</v>
      </c>
      <c r="M196" s="142">
        <f>COUNTIFS($H$3:H196,H196)</f>
        <v>93</v>
      </c>
      <c r="N196" s="142">
        <f>COUNTIFS(F$3:$F196,F196,H$3:$H196,H196,E$3:$E196,E196)</f>
        <v>93</v>
      </c>
      <c r="O196" s="142">
        <f>COUNTIFS($F$3:F196,F196,$H$3:H196,H196)</f>
        <v>93</v>
      </c>
    </row>
    <row r="197" spans="1:15" ht="36.6">
      <c r="A197" s="29">
        <v>194</v>
      </c>
      <c r="B197" s="54"/>
      <c r="C197" s="61">
        <f>IFERROR(VLOOKUP(B197,'Runner List'!$B$3:$O$505,5,FALSE),0)</f>
        <v>0</v>
      </c>
      <c r="D197" s="129">
        <f>IFERROR(VLOOKUP(B197,'Runner List'!$B$3:$O$505,6,FALSE),0)</f>
        <v>0</v>
      </c>
      <c r="E197" s="8">
        <f>IFERROR(VLOOKUP(B197,'Runner List'!$B$3:$O$505,7,FALSE),0)</f>
        <v>0</v>
      </c>
      <c r="F197" s="25">
        <f>IFERROR(VLOOKUP(B197,'Runner List'!$B$3:$O$505,8,FALSE),0)</f>
        <v>0</v>
      </c>
      <c r="G197" s="26">
        <f>IFERROR(VLOOKUP(B197,'Runner List'!$B$3:$O$505,9,FALSE),0)</f>
        <v>0</v>
      </c>
      <c r="H197" s="25">
        <f>IFERROR(VLOOKUP(B197,'Runner List'!$B$3:$O$505,10,FALSE),0)</f>
        <v>0</v>
      </c>
      <c r="I197" s="24">
        <f>IFERROR(VLOOKUP(B197,'(2)Check In'!$B$4:$I$848,7,FALSE),0)</f>
        <v>0</v>
      </c>
      <c r="J197" s="24">
        <f>IFERROR(VLOOKUP(B197,'(2)Check In'!$B$4:$I$848,8,FALSE),0)</f>
        <v>0</v>
      </c>
      <c r="K197" s="24" t="str">
        <f t="shared" ca="1" si="14"/>
        <v/>
      </c>
      <c r="L197" s="127" t="e">
        <f t="shared" ca="1" si="15"/>
        <v>#VALUE!</v>
      </c>
      <c r="M197" s="142">
        <f>COUNTIFS($H$3:H197,H197)</f>
        <v>94</v>
      </c>
      <c r="N197" s="142">
        <f>COUNTIFS(F$3:$F197,F197,H$3:$H197,H197,E$3:$E197,E197)</f>
        <v>94</v>
      </c>
      <c r="O197" s="142">
        <f>COUNTIFS($F$3:F197,F197,$H$3:H197,H197)</f>
        <v>94</v>
      </c>
    </row>
    <row r="198" spans="1:15" ht="36.6">
      <c r="A198" s="28">
        <v>195</v>
      </c>
      <c r="B198" s="54"/>
      <c r="C198" s="61">
        <f>IFERROR(VLOOKUP(B198,'Runner List'!$B$3:$O$505,5,FALSE),0)</f>
        <v>0</v>
      </c>
      <c r="D198" s="129">
        <f>IFERROR(VLOOKUP(B198,'Runner List'!$B$3:$O$505,6,FALSE),0)</f>
        <v>0</v>
      </c>
      <c r="E198" s="8">
        <f>IFERROR(VLOOKUP(B198,'Runner List'!$B$3:$O$505,7,FALSE),0)</f>
        <v>0</v>
      </c>
      <c r="F198" s="25">
        <f>IFERROR(VLOOKUP(B198,'Runner List'!$B$3:$O$505,8,FALSE),0)</f>
        <v>0</v>
      </c>
      <c r="G198" s="26">
        <f>IFERROR(VLOOKUP(B198,'Runner List'!$B$3:$O$505,9,FALSE),0)</f>
        <v>0</v>
      </c>
      <c r="H198" s="25">
        <f>IFERROR(VLOOKUP(B198,'Runner List'!$B$3:$O$505,10,FALSE),0)</f>
        <v>0</v>
      </c>
      <c r="I198" s="24">
        <f>IFERROR(VLOOKUP(B198,'(2)Check In'!$B$4:$I$848,7,FALSE),0)</f>
        <v>0</v>
      </c>
      <c r="J198" s="24">
        <f>IFERROR(VLOOKUP(B198,'(2)Check In'!$B$4:$I$848,8,FALSE),0)</f>
        <v>0</v>
      </c>
      <c r="K198" s="24" t="str">
        <f t="shared" ca="1" si="14"/>
        <v/>
      </c>
      <c r="L198" s="128" t="e">
        <f t="shared" ca="1" si="15"/>
        <v>#VALUE!</v>
      </c>
      <c r="M198" s="142">
        <f>COUNTIFS($H$3:H198,H198)</f>
        <v>95</v>
      </c>
      <c r="N198" s="142">
        <f>COUNTIFS(F$3:$F198,F198,H$3:$H198,H198,E$3:$E198,E198)</f>
        <v>95</v>
      </c>
      <c r="O198" s="142">
        <f>COUNTIFS($F$3:F198,F198,$H$3:H198,H198)</f>
        <v>95</v>
      </c>
    </row>
    <row r="199" spans="1:15" ht="36.6">
      <c r="A199" s="29">
        <v>196</v>
      </c>
      <c r="B199" s="54"/>
      <c r="C199" s="61">
        <f>IFERROR(VLOOKUP(B199,'Runner List'!$B$3:$O$505,5,FALSE),0)</f>
        <v>0</v>
      </c>
      <c r="D199" s="129">
        <f>IFERROR(VLOOKUP(B199,'Runner List'!$B$3:$O$505,6,FALSE),0)</f>
        <v>0</v>
      </c>
      <c r="E199" s="8">
        <f>IFERROR(VLOOKUP(B199,'Runner List'!$B$3:$O$505,7,FALSE),0)</f>
        <v>0</v>
      </c>
      <c r="F199" s="25">
        <f>IFERROR(VLOOKUP(B199,'Runner List'!$B$3:$O$505,8,FALSE),0)</f>
        <v>0</v>
      </c>
      <c r="G199" s="26">
        <f>IFERROR(VLOOKUP(B199,'Runner List'!$B$3:$O$505,9,FALSE),0)</f>
        <v>0</v>
      </c>
      <c r="H199" s="25">
        <f>IFERROR(VLOOKUP(B199,'Runner List'!$B$3:$O$505,10,FALSE),0)</f>
        <v>0</v>
      </c>
      <c r="I199" s="24">
        <f>IFERROR(VLOOKUP(B199,'(2)Check In'!$B$4:$I$848,7,FALSE),0)</f>
        <v>0</v>
      </c>
      <c r="J199" s="24">
        <f>IFERROR(VLOOKUP(B199,'(2)Check In'!$B$4:$I$848,8,FALSE),0)</f>
        <v>0</v>
      </c>
      <c r="K199" s="24" t="str">
        <f t="shared" ca="1" si="14"/>
        <v/>
      </c>
      <c r="L199" s="127" t="e">
        <f t="shared" ca="1" si="15"/>
        <v>#VALUE!</v>
      </c>
      <c r="M199" s="142">
        <f>COUNTIFS($H$3:H199,H199)</f>
        <v>96</v>
      </c>
      <c r="N199" s="142">
        <f>COUNTIFS(F$3:$F199,F199,H$3:$H199,H199,E$3:$E199,E199)</f>
        <v>96</v>
      </c>
      <c r="O199" s="142">
        <f>COUNTIFS($F$3:F199,F199,$H$3:H199,H199)</f>
        <v>96</v>
      </c>
    </row>
    <row r="200" spans="1:15" ht="36.6">
      <c r="A200" s="28">
        <v>197</v>
      </c>
      <c r="B200" s="54"/>
      <c r="C200" s="61">
        <f>IFERROR(VLOOKUP(B200,'Runner List'!$B$3:$O$505,5,FALSE),0)</f>
        <v>0</v>
      </c>
      <c r="D200" s="129">
        <f>IFERROR(VLOOKUP(B200,'Runner List'!$B$3:$O$505,6,FALSE),0)</f>
        <v>0</v>
      </c>
      <c r="E200" s="8">
        <f>IFERROR(VLOOKUP(B200,'Runner List'!$B$3:$O$505,7,FALSE),0)</f>
        <v>0</v>
      </c>
      <c r="F200" s="25">
        <f>IFERROR(VLOOKUP(B200,'Runner List'!$B$3:$O$505,8,FALSE),0)</f>
        <v>0</v>
      </c>
      <c r="G200" s="26">
        <f>IFERROR(VLOOKUP(B200,'Runner List'!$B$3:$O$505,9,FALSE),0)</f>
        <v>0</v>
      </c>
      <c r="H200" s="25">
        <f>IFERROR(VLOOKUP(B200,'Runner List'!$B$3:$O$505,10,FALSE),0)</f>
        <v>0</v>
      </c>
      <c r="I200" s="24">
        <f>IFERROR(VLOOKUP(B200,'(2)Check In'!$B$4:$I$848,7,FALSE),0)</f>
        <v>0</v>
      </c>
      <c r="J200" s="24">
        <f>IFERROR(VLOOKUP(B200,'(2)Check In'!$B$4:$I$848,8,FALSE),0)</f>
        <v>0</v>
      </c>
      <c r="K200" s="24" t="str">
        <f t="shared" ca="1" si="14"/>
        <v/>
      </c>
      <c r="L200" s="128" t="e">
        <f t="shared" ca="1" si="15"/>
        <v>#VALUE!</v>
      </c>
      <c r="M200" s="142">
        <f>COUNTIFS($H$3:H200,H200)</f>
        <v>97</v>
      </c>
      <c r="N200" s="142">
        <f>COUNTIFS(F$3:$F200,F200,H$3:$H200,H200,E$3:$E200,E200)</f>
        <v>97</v>
      </c>
      <c r="O200" s="142">
        <f>COUNTIFS($F$3:F200,F200,$H$3:H200,H200)</f>
        <v>97</v>
      </c>
    </row>
    <row r="201" spans="1:15" ht="36.6">
      <c r="A201" s="29">
        <v>198</v>
      </c>
      <c r="B201" s="54"/>
      <c r="C201" s="61">
        <f>IFERROR(VLOOKUP(B201,'Runner List'!$B$3:$O$505,5,FALSE),0)</f>
        <v>0</v>
      </c>
      <c r="D201" s="129">
        <f>IFERROR(VLOOKUP(B201,'Runner List'!$B$3:$O$505,6,FALSE),0)</f>
        <v>0</v>
      </c>
      <c r="E201" s="8">
        <f>IFERROR(VLOOKUP(B201,'Runner List'!$B$3:$O$505,7,FALSE),0)</f>
        <v>0</v>
      </c>
      <c r="F201" s="25">
        <f>IFERROR(VLOOKUP(B201,'Runner List'!$B$3:$O$505,8,FALSE),0)</f>
        <v>0</v>
      </c>
      <c r="G201" s="26">
        <f>IFERROR(VLOOKUP(B201,'Runner List'!$B$3:$O$505,9,FALSE),0)</f>
        <v>0</v>
      </c>
      <c r="H201" s="25">
        <f>IFERROR(VLOOKUP(B201,'Runner List'!$B$3:$O$505,10,FALSE),0)</f>
        <v>0</v>
      </c>
      <c r="I201" s="24">
        <f>IFERROR(VLOOKUP(B201,'(2)Check In'!$B$4:$I$848,7,FALSE),0)</f>
        <v>0</v>
      </c>
      <c r="J201" s="24">
        <f>IFERROR(VLOOKUP(B201,'(2)Check In'!$B$4:$I$848,8,FALSE),0)</f>
        <v>0</v>
      </c>
      <c r="K201" s="24" t="str">
        <f t="shared" ref="K201" ca="1" si="16">IF(B201="","",IF(K201="",NOW(),K201))</f>
        <v/>
      </c>
      <c r="L201" s="127" t="e">
        <f t="shared" ref="L201" ca="1" si="17">K201-J201</f>
        <v>#VALUE!</v>
      </c>
      <c r="M201" s="142">
        <f>COUNTIFS($H$3:H201,H201)</f>
        <v>98</v>
      </c>
      <c r="N201" s="142">
        <f>COUNTIFS(F$3:$F201,F201,H$3:$H201,H201,E$3:$E201,E201)</f>
        <v>98</v>
      </c>
      <c r="O201" s="142">
        <f>COUNTIFS($F$3:F201,F201,$H$3:H201,H201)</f>
        <v>98</v>
      </c>
    </row>
  </sheetData>
  <autoFilter ref="A3:R201" xr:uid="{00000000-0009-0000-0000-000001000000}"/>
  <conditionalFormatting sqref="V4:V10 AA4:AA10">
    <cfRule type="cellIs" dxfId="14" priority="2" operator="greaterThan">
      <formula>0</formula>
    </cfRule>
    <cfRule type="cellIs" dxfId="13" priority="4" operator="greaterThan">
      <formula>1</formula>
    </cfRule>
  </conditionalFormatting>
  <pageMargins left="0.35433070866141736" right="0.35433070866141736" top="0.27559055118110237" bottom="0.27559055118110237" header="0.31496062992125984" footer="0.31496062992125984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CC"/>
  </sheetPr>
  <dimension ref="A1:BF203"/>
  <sheetViews>
    <sheetView showGridLines="0" showRowColHeaders="0" zoomScale="50" zoomScaleNormal="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17" sqref="H17"/>
    </sheetView>
  </sheetViews>
  <sheetFormatPr defaultRowHeight="14.4"/>
  <cols>
    <col min="1" max="1" width="6.88671875" style="1" customWidth="1"/>
    <col min="2" max="2" width="19.88671875" style="16" customWidth="1"/>
    <col min="3" max="3" width="48.6640625" style="11" bestFit="1" customWidth="1"/>
    <col min="4" max="4" width="15.44140625" style="2" bestFit="1" customWidth="1"/>
    <col min="5" max="5" width="15.44140625" style="2" customWidth="1"/>
    <col min="6" max="6" width="15.88671875" bestFit="1" customWidth="1"/>
    <col min="7" max="7" width="12.33203125" bestFit="1" customWidth="1"/>
    <col min="8" max="8" width="22.44140625" style="19" bestFit="1" customWidth="1"/>
    <col min="9" max="9" width="22.44140625" style="21" bestFit="1" customWidth="1"/>
    <col min="12" max="12" width="10.33203125" bestFit="1" customWidth="1"/>
    <col min="13" max="13" width="21.5546875" bestFit="1" customWidth="1"/>
    <col min="14" max="14" width="13.109375" bestFit="1" customWidth="1"/>
    <col min="15" max="15" width="11" bestFit="1" customWidth="1"/>
    <col min="17" max="17" width="10.109375" bestFit="1" customWidth="1"/>
    <col min="18" max="18" width="21.44140625" bestFit="1" customWidth="1"/>
    <col min="19" max="19" width="13.109375" bestFit="1" customWidth="1"/>
    <col min="20" max="20" width="11" bestFit="1" customWidth="1"/>
    <col min="22" max="22" width="15.6640625" bestFit="1" customWidth="1"/>
    <col min="25" max="25" width="10.33203125" bestFit="1" customWidth="1"/>
    <col min="26" max="26" width="15.6640625" bestFit="1" customWidth="1"/>
  </cols>
  <sheetData>
    <row r="1" spans="1:25" s="4" customFormat="1" ht="29.4" thickBot="1">
      <c r="A1" s="31" t="s">
        <v>38</v>
      </c>
      <c r="C1" s="9"/>
      <c r="D1" s="17"/>
      <c r="E1" s="17"/>
      <c r="H1" s="7"/>
      <c r="I1" s="20"/>
      <c r="K1" s="149"/>
      <c r="L1" s="149"/>
      <c r="M1" s="166" t="s">
        <v>290</v>
      </c>
      <c r="X1" s="150"/>
      <c r="Y1" s="149"/>
    </row>
    <row r="2" spans="1:25" s="12" customFormat="1" ht="21" customHeight="1">
      <c r="A2" s="39" t="s">
        <v>4</v>
      </c>
      <c r="B2" s="47" t="s">
        <v>3</v>
      </c>
      <c r="C2" s="40" t="s">
        <v>5</v>
      </c>
      <c r="D2" s="39" t="s">
        <v>35</v>
      </c>
      <c r="E2" s="39" t="s">
        <v>6</v>
      </c>
      <c r="F2" s="39" t="s">
        <v>23</v>
      </c>
      <c r="G2" s="39" t="s">
        <v>275</v>
      </c>
      <c r="H2" s="50" t="s">
        <v>8</v>
      </c>
      <c r="I2" s="41" t="s">
        <v>13</v>
      </c>
      <c r="M2" s="167"/>
      <c r="N2" s="168"/>
      <c r="O2" s="168"/>
      <c r="P2" s="169"/>
      <c r="R2" s="174"/>
      <c r="S2" s="175"/>
      <c r="T2" s="175"/>
      <c r="U2" s="176"/>
    </row>
    <row r="3" spans="1:25" s="45" customFormat="1" ht="21" customHeight="1" thickBot="1">
      <c r="A3" s="43" t="s">
        <v>0</v>
      </c>
      <c r="B3" s="48" t="s">
        <v>2</v>
      </c>
      <c r="C3" s="44" t="s">
        <v>39</v>
      </c>
      <c r="D3" s="43" t="s">
        <v>1</v>
      </c>
      <c r="E3" s="43" t="s">
        <v>7</v>
      </c>
      <c r="F3" s="43" t="s">
        <v>24</v>
      </c>
      <c r="G3" s="43" t="s">
        <v>276</v>
      </c>
      <c r="H3" s="51" t="s">
        <v>28</v>
      </c>
      <c r="I3" s="46" t="s">
        <v>14</v>
      </c>
      <c r="M3" s="170" t="s">
        <v>205</v>
      </c>
      <c r="N3" s="171">
        <f>COUNTIF($G$4:$G$200,"MKT33")</f>
        <v>74</v>
      </c>
      <c r="O3" s="172"/>
      <c r="P3" s="173"/>
      <c r="Q3" s="69"/>
      <c r="R3" s="177" t="s">
        <v>46</v>
      </c>
      <c r="S3" s="178">
        <f>COUNTIF($G$4:$G$200,"MKT50")</f>
        <v>35</v>
      </c>
      <c r="T3" s="179"/>
      <c r="U3" s="180"/>
    </row>
    <row r="4" spans="1:25" ht="36" customHeight="1">
      <c r="A4" s="8">
        <v>1</v>
      </c>
      <c r="B4" s="49">
        <v>5026</v>
      </c>
      <c r="C4" s="10" t="str">
        <f>IFERROR(VLOOKUP(B4,'Runner List'!$B$3:$OT$505,5,FALSE),0)</f>
        <v>MALILA KOSURA</v>
      </c>
      <c r="D4" s="8" t="str">
        <f>IFERROR(VLOOKUP(B4,'Runner List'!$B$3:$O$505,7,FALSE),0)</f>
        <v>Female</v>
      </c>
      <c r="E4" s="8" t="str">
        <f>IFERROR(VLOOKUP(B4,'Runner List'!$B$3:$O$505,8,FALSE),0)</f>
        <v>50-59</v>
      </c>
      <c r="F4" s="8" t="str">
        <f>IFERROR(VLOOKUP(B4,'Runner List'!$B$3:$O$505,9,FALSE),0)</f>
        <v>Thai</v>
      </c>
      <c r="G4" s="8" t="str">
        <f>IFERROR(VLOOKUP(B4,'Runner List'!$B$3:$O$505,10,FALSE),0)</f>
        <v>MKT50</v>
      </c>
      <c r="H4" s="52">
        <f t="shared" ref="H4:H68" ca="1" si="0">IF(B4="","",IF(H4="",NOW(),H4))</f>
        <v>45550.203809606479</v>
      </c>
      <c r="I4" s="76">
        <f>IFERROR(VLOOKUP(B4,'Runner List'!$B$3:$O$505,12,FALSE),0)</f>
        <v>0.20833333333333334</v>
      </c>
      <c r="J4" s="22"/>
      <c r="K4" s="6"/>
      <c r="M4" s="151" t="s">
        <v>277</v>
      </c>
      <c r="N4" s="152">
        <f>COUNTIFS($G$4:$G$200,"MKT33",$D$4:$D$200,"Male")</f>
        <v>47</v>
      </c>
      <c r="O4" s="153" t="s">
        <v>198</v>
      </c>
      <c r="P4" s="154">
        <f>COUNTIFS($G$4:$G$200,"MKT33",$D$4:$D$200,"Male",$E$4:$E$200,"20-39")</f>
        <v>19</v>
      </c>
      <c r="R4" s="165" t="s">
        <v>277</v>
      </c>
      <c r="S4" s="152">
        <f>COUNTIFS($G$4:$G$200,"MKT50",$D$4:$D$200,"Male")</f>
        <v>25</v>
      </c>
      <c r="T4" s="153" t="s">
        <v>198</v>
      </c>
      <c r="U4" s="154">
        <f>COUNTIFS($G$4:$G$200,"MKT50",$D$4:$D$200,"Male",$E$4:$E$200,"20-39")</f>
        <v>3</v>
      </c>
    </row>
    <row r="5" spans="1:25" ht="36" customHeight="1">
      <c r="A5" s="8">
        <v>2</v>
      </c>
      <c r="B5" s="49">
        <v>5016</v>
      </c>
      <c r="C5" s="10" t="str">
        <f>IFERROR(VLOOKUP(B5,'Runner List'!$B$3:$OT$505,5,FALSE),0)</f>
        <v>NARUDAPA WATTANATEERAPAK</v>
      </c>
      <c r="D5" s="8" t="str">
        <f>IFERROR(VLOOKUP(B5,'Runner List'!$B$3:$O$505,7,FALSE),0)</f>
        <v>Female</v>
      </c>
      <c r="E5" s="8" t="str">
        <f>IFERROR(VLOOKUP(B5,'Runner List'!$B$3:$O$505,8,FALSE),0)</f>
        <v>40-49</v>
      </c>
      <c r="F5" s="8" t="str">
        <f>IFERROR(VLOOKUP(B5,'Runner List'!$B$3:$O$505,9,FALSE),0)</f>
        <v>Thai</v>
      </c>
      <c r="G5" s="8" t="str">
        <f>IFERROR(VLOOKUP(B5,'Runner List'!$B$3:$O$505,10,FALSE),0)</f>
        <v>MKT50</v>
      </c>
      <c r="H5" s="52">
        <f t="shared" ca="1" si="0"/>
        <v>45550.203868634257</v>
      </c>
      <c r="I5" s="76">
        <f>IFERROR(VLOOKUP(B5,'Runner List'!$B$3:$O$505,12,FALSE),0)</f>
        <v>0.20833333333333334</v>
      </c>
      <c r="M5" s="155"/>
      <c r="N5" s="147"/>
      <c r="O5" s="148" t="s">
        <v>196</v>
      </c>
      <c r="P5" s="156">
        <f>COUNTIFS($G$4:$G$200,"MKT33",$D$4:$D$200,"Male",$E$4:$E$200,"40-49")</f>
        <v>15</v>
      </c>
      <c r="R5" s="162"/>
      <c r="S5" s="147"/>
      <c r="T5" s="148" t="s">
        <v>196</v>
      </c>
      <c r="U5" s="156">
        <f>COUNTIFS($G$4:$G$200,"MKT50",$D$4:$D$200,"Male",$E$4:$E$200,"40-49")</f>
        <v>14</v>
      </c>
    </row>
    <row r="6" spans="1:25" ht="36" customHeight="1">
      <c r="A6" s="8">
        <v>3</v>
      </c>
      <c r="B6" s="49">
        <v>5018</v>
      </c>
      <c r="C6" s="10" t="str">
        <f>IFERROR(VLOOKUP(B6,'Runner List'!$B$3:$OT$505,5,FALSE),0)</f>
        <v>MANOP MAEJIT</v>
      </c>
      <c r="D6" s="8" t="str">
        <f>IFERROR(VLOOKUP(B6,'Runner List'!$B$3:$O$505,7,FALSE),0)</f>
        <v>Male</v>
      </c>
      <c r="E6" s="8" t="str">
        <f>IFERROR(VLOOKUP(B6,'Runner List'!$B$3:$O$505,8,FALSE),0)</f>
        <v>40-49</v>
      </c>
      <c r="F6" s="8" t="str">
        <f>IFERROR(VLOOKUP(B6,'Runner List'!$B$3:$O$505,9,FALSE),0)</f>
        <v>Thai</v>
      </c>
      <c r="G6" s="8" t="str">
        <f>IFERROR(VLOOKUP(B6,'Runner List'!$B$3:$O$505,10,FALSE),0)</f>
        <v>MKT50</v>
      </c>
      <c r="H6" s="52">
        <f t="shared" ca="1" si="0"/>
        <v>45550.203924074071</v>
      </c>
      <c r="I6" s="76">
        <f>IFERROR(VLOOKUP(B6,'Runner List'!$B$3:$O$505,12,FALSE),0)</f>
        <v>0.20833333333333334</v>
      </c>
      <c r="J6" s="22"/>
      <c r="M6" s="155"/>
      <c r="N6" s="147"/>
      <c r="O6" s="148" t="s">
        <v>197</v>
      </c>
      <c r="P6" s="156">
        <f>COUNTIFS($G$4:$G$200,"MKT33",$D$4:$D$200,"Male",$E$4:$E$200,"50-59")</f>
        <v>11</v>
      </c>
      <c r="R6" s="162"/>
      <c r="S6" s="147"/>
      <c r="T6" s="148" t="s">
        <v>197</v>
      </c>
      <c r="U6" s="156">
        <f>COUNTIFS($G$4:$G$200,"MKT50",$D$4:$D$200,"Male",$E$4:$E$200,"50-59")</f>
        <v>5</v>
      </c>
    </row>
    <row r="7" spans="1:25" ht="36" customHeight="1" thickBot="1">
      <c r="A7" s="8">
        <v>4</v>
      </c>
      <c r="B7" s="49">
        <v>5040</v>
      </c>
      <c r="C7" s="10" t="str">
        <f>IFERROR(VLOOKUP(B7,'Runner List'!$B$3:$OT$505,5,FALSE),0)</f>
        <v>ROBERT MCCONNON</v>
      </c>
      <c r="D7" s="8" t="str">
        <f>IFERROR(VLOOKUP(B7,'Runner List'!$B$3:$O$505,7,FALSE),0)</f>
        <v>Male</v>
      </c>
      <c r="E7" s="8" t="str">
        <f>IFERROR(VLOOKUP(B7,'Runner List'!$B$3:$O$505,8,FALSE),0)</f>
        <v>40-49</v>
      </c>
      <c r="F7" s="8" t="str">
        <f>IFERROR(VLOOKUP(B7,'Runner List'!$B$3:$O$505,9,FALSE),0)</f>
        <v>Australia</v>
      </c>
      <c r="G7" s="8" t="str">
        <f>IFERROR(VLOOKUP(B7,'Runner List'!$B$3:$O$505,10,FALSE),0)</f>
        <v>MKT50</v>
      </c>
      <c r="H7" s="52">
        <f t="shared" ca="1" si="0"/>
        <v>45550.203966898145</v>
      </c>
      <c r="I7" s="76">
        <f>IFERROR(VLOOKUP(B7,'Runner List'!$B$3:$O$505,12,FALSE),0)</f>
        <v>0.20833333333333334</v>
      </c>
      <c r="M7" s="157"/>
      <c r="N7" s="158"/>
      <c r="O7" s="159" t="s">
        <v>274</v>
      </c>
      <c r="P7" s="160">
        <f>COUNTIFS($G$4:$G$200,"MKT33",$D$4:$D$200,"Male",$E$4:$E$200,"60 Plush")</f>
        <v>0</v>
      </c>
      <c r="R7" s="163"/>
      <c r="S7" s="158"/>
      <c r="T7" s="159" t="s">
        <v>274</v>
      </c>
      <c r="U7" s="160">
        <f>COUNTIFS($G$4:$G$200,"MKT50",$D$4:$D$200,"Male",$E$4:$E$200,"60 Plus")</f>
        <v>3</v>
      </c>
    </row>
    <row r="8" spans="1:25" ht="36" customHeight="1">
      <c r="A8" s="8">
        <v>5</v>
      </c>
      <c r="B8" s="49">
        <v>5047</v>
      </c>
      <c r="C8" s="10" t="str">
        <f>IFERROR(VLOOKUP(B8,'Runner List'!$B$3:$OT$505,5,FALSE),0)</f>
        <v xml:space="preserve">TAWATCHAI LATHIANG </v>
      </c>
      <c r="D8" s="8" t="str">
        <f>IFERROR(VLOOKUP(B8,'Runner List'!$B$3:$O$505,7,FALSE),0)</f>
        <v>Male</v>
      </c>
      <c r="E8" s="8" t="str">
        <f>IFERROR(VLOOKUP(B8,'Runner List'!$B$3:$O$505,8,FALSE),0)</f>
        <v>20-39</v>
      </c>
      <c r="F8" s="8" t="str">
        <f>IFERROR(VLOOKUP(B8,'Runner List'!$B$3:$O$505,9,FALSE),0)</f>
        <v>Thai</v>
      </c>
      <c r="G8" s="8" t="str">
        <f>IFERROR(VLOOKUP(B8,'Runner List'!$B$3:$O$505,10,FALSE),0)</f>
        <v>MKT50</v>
      </c>
      <c r="H8" s="52">
        <f t="shared" ca="1" si="0"/>
        <v>45550.203999999998</v>
      </c>
      <c r="I8" s="76">
        <f>IFERROR(VLOOKUP(B8,'Runner List'!$B$3:$O$505,12,FALSE),0)</f>
        <v>0.20833333333333334</v>
      </c>
      <c r="M8" s="161" t="s">
        <v>278</v>
      </c>
      <c r="N8" s="152">
        <f>COUNTIFS($G$4:$G$200,"MKT33",$D$4:$D$200,"Female")</f>
        <v>25</v>
      </c>
      <c r="O8" s="153" t="s">
        <v>198</v>
      </c>
      <c r="P8" s="154">
        <f>COUNTIFS($G$4:$G$200,"MKT33",$D$4:$D$200,"Female",$E$4:$E$200,"20-39")</f>
        <v>13</v>
      </c>
      <c r="R8" s="165" t="s">
        <v>278</v>
      </c>
      <c r="S8" s="152">
        <f>COUNTIFS($G$4:$G$200,"MKT50",$D$4:$D$200,"Female")</f>
        <v>9</v>
      </c>
      <c r="T8" s="153" t="s">
        <v>198</v>
      </c>
      <c r="U8" s="154">
        <f>COUNTIFS($G$4:$G$200,"MKT50",$D$4:$D$200,"Female",$E$4:$E$200,"20-39")</f>
        <v>0</v>
      </c>
    </row>
    <row r="9" spans="1:25" ht="36" customHeight="1">
      <c r="A9" s="8">
        <v>6</v>
      </c>
      <c r="B9" s="49">
        <v>5015</v>
      </c>
      <c r="C9" s="10" t="str">
        <f>IFERROR(VLOOKUP(B9,'Runner List'!$B$3:$OT$505,5,FALSE),0)</f>
        <v>JIAMJIT TANOMSAB</v>
      </c>
      <c r="D9" s="8" t="str">
        <f>IFERROR(VLOOKUP(B9,'Runner List'!$B$3:$O$505,7,FALSE),0)</f>
        <v>Female</v>
      </c>
      <c r="E9" s="8" t="str">
        <f>IFERROR(VLOOKUP(B9,'Runner List'!$B$3:$O$505,8,FALSE),0)</f>
        <v>50-59</v>
      </c>
      <c r="F9" s="8" t="str">
        <f>IFERROR(VLOOKUP(B9,'Runner List'!$B$3:$O$505,9,FALSE),0)</f>
        <v>Thai</v>
      </c>
      <c r="G9" s="8" t="str">
        <f>IFERROR(VLOOKUP(B9,'Runner List'!$B$3:$O$505,10,FALSE),0)</f>
        <v>MKT50</v>
      </c>
      <c r="H9" s="52">
        <f t="shared" ca="1" si="0"/>
        <v>45550.204047685183</v>
      </c>
      <c r="I9" s="76">
        <f>IFERROR(VLOOKUP(B9,'Runner List'!$B$3:$O$505,12,FALSE),0)</f>
        <v>0.20833333333333334</v>
      </c>
      <c r="M9" s="162"/>
      <c r="N9" s="147"/>
      <c r="O9" s="148" t="s">
        <v>196</v>
      </c>
      <c r="P9" s="156">
        <f>COUNTIFS($G$4:$G$200,"MKT33",$D$4:$D$200,"Female",$E$4:$E$200,"40-49")</f>
        <v>7</v>
      </c>
      <c r="R9" s="162"/>
      <c r="S9" s="147"/>
      <c r="T9" s="148" t="s">
        <v>196</v>
      </c>
      <c r="U9" s="156">
        <f>COUNTIFS($G$4:$G$200,"MKT50",$D$4:$D$200,"Female",$E$4:$E$200,"40-49")</f>
        <v>3</v>
      </c>
    </row>
    <row r="10" spans="1:25" ht="36" customHeight="1">
      <c r="A10" s="8">
        <v>7</v>
      </c>
      <c r="B10" s="49">
        <v>5041</v>
      </c>
      <c r="C10" s="10" t="str">
        <f>IFERROR(VLOOKUP(B10,'Runner List'!$B$3:$OT$505,5,FALSE),0)</f>
        <v>ALAN  FLENING</v>
      </c>
      <c r="D10" s="8" t="str">
        <f>IFERROR(VLOOKUP(B10,'Runner List'!$B$3:$O$505,7,FALSE),0)</f>
        <v>Male</v>
      </c>
      <c r="E10" s="8" t="str">
        <f>IFERROR(VLOOKUP(B10,'Runner List'!$B$3:$O$505,8,FALSE),0)</f>
        <v>40-49</v>
      </c>
      <c r="F10" s="8" t="str">
        <f>IFERROR(VLOOKUP(B10,'Runner List'!$B$3:$O$505,9,FALSE),0)</f>
        <v>Australia</v>
      </c>
      <c r="G10" s="8" t="str">
        <f>IFERROR(VLOOKUP(B10,'Runner List'!$B$3:$O$505,10,FALSE),0)</f>
        <v>MKT50</v>
      </c>
      <c r="H10" s="52">
        <f t="shared" ca="1" si="0"/>
        <v>45550.204085185185</v>
      </c>
      <c r="I10" s="76">
        <f>IFERROR(VLOOKUP(B10,'Runner List'!$B$3:$O$505,12,FALSE),0)</f>
        <v>0.20833333333333334</v>
      </c>
      <c r="M10" s="162"/>
      <c r="N10" s="147"/>
      <c r="O10" s="148" t="s">
        <v>197</v>
      </c>
      <c r="P10" s="156">
        <f>COUNTIFS($G$4:$G$200,"MKT33",$D$4:$D$200,"Female",$E$4:$E$200,"50-59")</f>
        <v>4</v>
      </c>
      <c r="R10" s="162"/>
      <c r="S10" s="147"/>
      <c r="T10" s="148" t="s">
        <v>197</v>
      </c>
      <c r="U10" s="156">
        <f>COUNTIFS($G$4:$G$200,"MKT50",$D$4:$D$200,"Female",$E$4:$E$200,"50-59")</f>
        <v>5</v>
      </c>
    </row>
    <row r="11" spans="1:25" ht="36" customHeight="1" thickBot="1">
      <c r="A11" s="8">
        <v>8</v>
      </c>
      <c r="B11" s="49">
        <v>5017</v>
      </c>
      <c r="C11" s="10" t="str">
        <f>IFERROR(VLOOKUP(B11,'Runner List'!$B$3:$OT$505,5,FALSE),0)</f>
        <v>SIRILAX ROMPHONGERN</v>
      </c>
      <c r="D11" s="8" t="str">
        <f>IFERROR(VLOOKUP(B11,'Runner List'!$B$3:$O$505,7,FALSE),0)</f>
        <v>Female</v>
      </c>
      <c r="E11" s="8" t="str">
        <f>IFERROR(VLOOKUP(B11,'Runner List'!$B$3:$O$505,8,FALSE),0)</f>
        <v>50-59</v>
      </c>
      <c r="F11" s="8" t="str">
        <f>IFERROR(VLOOKUP(B11,'Runner List'!$B$3:$O$505,9,FALSE),0)</f>
        <v>Thai</v>
      </c>
      <c r="G11" s="8" t="str">
        <f>IFERROR(VLOOKUP(B11,'Runner List'!$B$3:$O$505,10,FALSE),0)</f>
        <v>MKT50</v>
      </c>
      <c r="H11" s="52">
        <f t="shared" ca="1" si="0"/>
        <v>45550.204121180555</v>
      </c>
      <c r="I11" s="76">
        <f>IFERROR(VLOOKUP(B11,'Runner List'!$B$3:$O$505,12,FALSE),0)</f>
        <v>0.20833333333333334</v>
      </c>
      <c r="M11" s="163"/>
      <c r="N11" s="158"/>
      <c r="O11" s="159" t="s">
        <v>274</v>
      </c>
      <c r="P11" s="160">
        <f>COUNTIFS($G$4:$G$200,"MKT33",$D$4:$D$200,"Female",$E$4:$E$200,"60 Plush")</f>
        <v>0</v>
      </c>
      <c r="R11" s="163"/>
      <c r="S11" s="158"/>
      <c r="T11" s="159" t="s">
        <v>274</v>
      </c>
      <c r="U11" s="160">
        <f>COUNTIFS($G$4:$G$200,"MKT50",$D$4:$D$200,"Female",$E$4:$E$200,"60 Plus")</f>
        <v>1</v>
      </c>
    </row>
    <row r="12" spans="1:25" ht="36" customHeight="1">
      <c r="A12" s="8">
        <v>9</v>
      </c>
      <c r="B12" s="49">
        <v>5046</v>
      </c>
      <c r="C12" s="10" t="str">
        <f>IFERROR(VLOOKUP(B12,'Runner List'!$B$3:$OT$505,5,FALSE),0)</f>
        <v>PATTHANAPICJI TRINWATTHAWORN</v>
      </c>
      <c r="D12" s="8" t="str">
        <f>IFERROR(VLOOKUP(B12,'Runner List'!$B$3:$O$505,7,FALSE),0)</f>
        <v>Male</v>
      </c>
      <c r="E12" s="8" t="str">
        <f>IFERROR(VLOOKUP(B12,'Runner List'!$B$3:$O$505,8,FALSE),0)</f>
        <v>40-49</v>
      </c>
      <c r="F12" s="8" t="str">
        <f>IFERROR(VLOOKUP(B12,'Runner List'!$B$3:$O$505,9,FALSE),0)</f>
        <v>Thai</v>
      </c>
      <c r="G12" s="8" t="str">
        <f>IFERROR(VLOOKUP(B12,'Runner List'!$B$3:$O$505,10,FALSE),0)</f>
        <v>MKT50</v>
      </c>
      <c r="H12" s="52">
        <f t="shared" ca="1" si="0"/>
        <v>45550.204164467592</v>
      </c>
      <c r="I12" s="76">
        <f>IFERROR(VLOOKUP(B12,'Runner List'!$B$3:$O$505,12,FALSE),0)</f>
        <v>0.20833333333333334</v>
      </c>
      <c r="M12" s="164" t="s">
        <v>279</v>
      </c>
      <c r="N12" s="152">
        <f>COUNTIFS($G$4:$G$200,"MKT33",$D$4:$D$200,"LGBTIQAN+")</f>
        <v>2</v>
      </c>
      <c r="O12" s="153" t="s">
        <v>198</v>
      </c>
      <c r="P12" s="154" t="s">
        <v>288</v>
      </c>
      <c r="R12" s="165" t="s">
        <v>279</v>
      </c>
      <c r="S12" s="152">
        <f ca="1">COUNTIFS($H$4:$H$200,"MKT50",$E$4:$E$200,"LGBTIQAN+")</f>
        <v>0</v>
      </c>
      <c r="T12" s="153" t="s">
        <v>198</v>
      </c>
      <c r="U12" s="154" t="s">
        <v>288</v>
      </c>
    </row>
    <row r="13" spans="1:25" ht="36" customHeight="1">
      <c r="A13" s="8">
        <v>10</v>
      </c>
      <c r="B13" s="49">
        <v>5034</v>
      </c>
      <c r="C13" s="10" t="str">
        <f>IFERROR(VLOOKUP(B13,'Runner List'!$B$3:$OT$505,5,FALSE),0)</f>
        <v>JEERAPHAN NONTAKA</v>
      </c>
      <c r="D13" s="8" t="str">
        <f>IFERROR(VLOOKUP(B13,'Runner List'!$B$3:$O$505,7,FALSE),0)</f>
        <v>Male</v>
      </c>
      <c r="E13" s="8" t="str">
        <f>IFERROR(VLOOKUP(B13,'Runner List'!$B$3:$O$505,8,FALSE),0)</f>
        <v>20-39</v>
      </c>
      <c r="F13" s="8" t="str">
        <f>IFERROR(VLOOKUP(B13,'Runner List'!$B$3:$O$505,9,FALSE),0)</f>
        <v>Thai</v>
      </c>
      <c r="G13" s="8" t="str">
        <f>IFERROR(VLOOKUP(B13,'Runner List'!$B$3:$O$505,10,FALSE),0)</f>
        <v>MKT50</v>
      </c>
      <c r="H13" s="52">
        <f t="shared" ref="H13:H28" ca="1" si="1">IF(B13="","",IF(H13="",NOW(),H13))</f>
        <v>45550.204201967594</v>
      </c>
      <c r="I13" s="76">
        <f>IFERROR(VLOOKUP(B13,'Runner List'!$B$3:$O$505,12,FALSE),0)</f>
        <v>0.20833333333333334</v>
      </c>
      <c r="M13" s="162"/>
      <c r="N13" s="147"/>
      <c r="O13" s="148" t="s">
        <v>196</v>
      </c>
      <c r="P13" s="156" t="s">
        <v>288</v>
      </c>
      <c r="R13" s="162"/>
      <c r="S13" s="147"/>
      <c r="T13" s="148" t="s">
        <v>196</v>
      </c>
      <c r="U13" s="156" t="s">
        <v>288</v>
      </c>
    </row>
    <row r="14" spans="1:25" ht="36" customHeight="1">
      <c r="A14" s="8">
        <v>11</v>
      </c>
      <c r="B14" s="49">
        <v>5030</v>
      </c>
      <c r="C14" s="10" t="str">
        <f>IFERROR(VLOOKUP(B14,'Runner List'!$B$3:$OT$505,5,FALSE),0)</f>
        <v>WEERAWUT PHABMEK</v>
      </c>
      <c r="D14" s="8" t="str">
        <f>IFERROR(VLOOKUP(B14,'Runner List'!$B$3:$O$505,7,FALSE),0)</f>
        <v>Male</v>
      </c>
      <c r="E14" s="8" t="str">
        <f>IFERROR(VLOOKUP(B14,'Runner List'!$B$3:$O$505,8,FALSE),0)</f>
        <v>50-59</v>
      </c>
      <c r="F14" s="8" t="str">
        <f>IFERROR(VLOOKUP(B14,'Runner List'!$B$3:$O$505,9,FALSE),0)</f>
        <v>Thai</v>
      </c>
      <c r="G14" s="8" t="str">
        <f>IFERROR(VLOOKUP(B14,'Runner List'!$B$3:$O$505,10,FALSE),0)</f>
        <v>MKT50</v>
      </c>
      <c r="H14" s="52">
        <f t="shared" ca="1" si="1"/>
        <v>45550.204244675922</v>
      </c>
      <c r="I14" s="76">
        <f>IFERROR(VLOOKUP(B14,'Runner List'!$B$3:$O$505,12,FALSE),0)</f>
        <v>0.20833333333333334</v>
      </c>
      <c r="M14" s="162"/>
      <c r="N14" s="147"/>
      <c r="O14" s="148" t="s">
        <v>197</v>
      </c>
      <c r="P14" s="156" t="s">
        <v>288</v>
      </c>
      <c r="R14" s="162"/>
      <c r="S14" s="147"/>
      <c r="T14" s="148" t="s">
        <v>197</v>
      </c>
      <c r="U14" s="156" t="s">
        <v>288</v>
      </c>
    </row>
    <row r="15" spans="1:25" ht="36" customHeight="1" thickBot="1">
      <c r="A15" s="8">
        <v>12</v>
      </c>
      <c r="B15" s="49">
        <v>5048</v>
      </c>
      <c r="C15" s="10" t="str">
        <f>IFERROR(VLOOKUP(B15,'Runner List'!$B$3:$OT$505,5,FALSE),0)</f>
        <v>SONGWUT BOAKHEM</v>
      </c>
      <c r="D15" s="8" t="str">
        <f>IFERROR(VLOOKUP(B15,'Runner List'!$B$3:$O$505,7,FALSE),0)</f>
        <v>Male</v>
      </c>
      <c r="E15" s="8" t="str">
        <f>IFERROR(VLOOKUP(B15,'Runner List'!$B$3:$O$505,8,FALSE),0)</f>
        <v>60 Plus</v>
      </c>
      <c r="F15" s="8" t="str">
        <f>IFERROR(VLOOKUP(B15,'Runner List'!$B$3:$O$505,9,FALSE),0)</f>
        <v>Thai</v>
      </c>
      <c r="G15" s="8" t="str">
        <f>IFERROR(VLOOKUP(B15,'Runner List'!$B$3:$O$505,10,FALSE),0)</f>
        <v>MKT50</v>
      </c>
      <c r="H15" s="52">
        <f t="shared" ca="1" si="1"/>
        <v>45550.204343171295</v>
      </c>
      <c r="I15" s="76">
        <f>IFERROR(VLOOKUP(B15,'Runner List'!$B$3:$O$505,12,FALSE),0)</f>
        <v>0.20833333333333334</v>
      </c>
      <c r="M15" s="163"/>
      <c r="N15" s="158"/>
      <c r="O15" s="159" t="s">
        <v>274</v>
      </c>
      <c r="P15" s="160" t="s">
        <v>288</v>
      </c>
      <c r="R15" s="163"/>
      <c r="S15" s="158"/>
      <c r="T15" s="159" t="s">
        <v>274</v>
      </c>
      <c r="U15" s="160" t="s">
        <v>288</v>
      </c>
    </row>
    <row r="16" spans="1:25" ht="36" customHeight="1">
      <c r="A16" s="8">
        <v>13</v>
      </c>
      <c r="B16" s="49">
        <v>5032</v>
      </c>
      <c r="C16" s="10" t="str">
        <f>IFERROR(VLOOKUP(B16,'Runner List'!$B$3:$OT$505,5,FALSE),0)</f>
        <v>MARTIN RIEDINGER</v>
      </c>
      <c r="D16" s="8" t="str">
        <f>IFERROR(VLOOKUP(B16,'Runner List'!$B$3:$O$505,7,FALSE),0)</f>
        <v>Male</v>
      </c>
      <c r="E16" s="8" t="str">
        <f>IFERROR(VLOOKUP(B16,'Runner List'!$B$3:$O$505,8,FALSE),0)</f>
        <v>40-49</v>
      </c>
      <c r="F16" s="8" t="str">
        <f>IFERROR(VLOOKUP(B16,'Runner List'!$B$3:$O$505,9,FALSE),0)</f>
        <v>German</v>
      </c>
      <c r="G16" s="8" t="str">
        <f>IFERROR(VLOOKUP(B16,'Runner List'!$B$3:$O$505,10,FALSE),0)</f>
        <v>MKT50</v>
      </c>
      <c r="H16" s="52">
        <f t="shared" ca="1" si="1"/>
        <v>45550.204390509258</v>
      </c>
      <c r="I16" s="76">
        <f>IFERROR(VLOOKUP(B16,'Runner List'!$B$3:$O$505,12,FALSE),0)</f>
        <v>0.20833333333333334</v>
      </c>
      <c r="N16" s="186">
        <f>SUM(N4:N15)</f>
        <v>74</v>
      </c>
      <c r="S16" s="186">
        <f ca="1">SUM(S4:S15)</f>
        <v>34</v>
      </c>
    </row>
    <row r="17" spans="1:9" ht="36" customHeight="1">
      <c r="A17" s="8">
        <v>14</v>
      </c>
      <c r="B17" s="49">
        <v>5044</v>
      </c>
      <c r="C17" s="10" t="str">
        <f>IFERROR(VLOOKUP(B17,'Runner List'!$B$3:$OT$505,5,FALSE),0)</f>
        <v>PHONGSATHON JEESOM</v>
      </c>
      <c r="D17" s="8" t="str">
        <f>IFERROR(VLOOKUP(B17,'Runner List'!$B$3:$O$505,7,FALSE),0)</f>
        <v>Male</v>
      </c>
      <c r="E17" s="8" t="str">
        <f>IFERROR(VLOOKUP(B17,'Runner List'!$B$3:$O$505,8,FALSE),0)</f>
        <v>40-49</v>
      </c>
      <c r="F17" s="8" t="str">
        <f>IFERROR(VLOOKUP(B17,'Runner List'!$B$3:$O$505,9,FALSE),0)</f>
        <v>Thai</v>
      </c>
      <c r="G17" s="8" t="str">
        <f>IFERROR(VLOOKUP(B17,'Runner List'!$B$3:$O$505,10,FALSE),0)</f>
        <v>MKT50</v>
      </c>
      <c r="H17" s="52">
        <f t="shared" ca="1" si="1"/>
        <v>45550.204431712962</v>
      </c>
      <c r="I17" s="76">
        <f>IFERROR(VLOOKUP(B17,'Runner List'!$B$3:$O$505,12,FALSE),0)</f>
        <v>0.20833333333333334</v>
      </c>
    </row>
    <row r="18" spans="1:9" ht="36" customHeight="1">
      <c r="A18" s="8">
        <v>15</v>
      </c>
      <c r="B18" s="49">
        <v>5024</v>
      </c>
      <c r="C18" s="10" t="str">
        <f>IFERROR(VLOOKUP(B18,'Runner List'!$B$3:$OT$505,5,FALSE),0)</f>
        <v>ROSSARIN JINATHAM</v>
      </c>
      <c r="D18" s="8" t="str">
        <f>IFERROR(VLOOKUP(B18,'Runner List'!$B$3:$O$505,7,FALSE),0)</f>
        <v>Female</v>
      </c>
      <c r="E18" s="8" t="str">
        <f>IFERROR(VLOOKUP(B18,'Runner List'!$B$3:$O$505,8,FALSE),0)</f>
        <v>40-49</v>
      </c>
      <c r="F18" s="8" t="str">
        <f>IFERROR(VLOOKUP(B18,'Runner List'!$B$3:$O$505,9,FALSE),0)</f>
        <v>Thai</v>
      </c>
      <c r="G18" s="8" t="str">
        <f>IFERROR(VLOOKUP(B18,'Runner List'!$B$3:$O$505,10,FALSE),0)</f>
        <v>MKT50</v>
      </c>
      <c r="H18" s="52">
        <f t="shared" ca="1" si="1"/>
        <v>45550.204493750003</v>
      </c>
      <c r="I18" s="76">
        <f>IFERROR(VLOOKUP(B18,'Runner List'!$B$3:$O$505,12,FALSE),0)</f>
        <v>0.20833333333333334</v>
      </c>
    </row>
    <row r="19" spans="1:9" ht="36" customHeight="1">
      <c r="A19" s="8">
        <v>16</v>
      </c>
      <c r="B19" s="49">
        <v>5045</v>
      </c>
      <c r="C19" s="10" t="str">
        <f>IFERROR(VLOOKUP(B19,'Runner List'!$B$3:$OT$505,5,FALSE),0)</f>
        <v>VEERAPONG PAKDEEPRASERT</v>
      </c>
      <c r="D19" s="8" t="str">
        <f>IFERROR(VLOOKUP(B19,'Runner List'!$B$3:$O$505,7,FALSE),0)</f>
        <v>Male</v>
      </c>
      <c r="E19" s="8" t="str">
        <f>IFERROR(VLOOKUP(B19,'Runner List'!$B$3:$O$505,8,FALSE),0)</f>
        <v>40-49</v>
      </c>
      <c r="F19" s="8" t="str">
        <f>IFERROR(VLOOKUP(B19,'Runner List'!$B$3:$O$505,9,FALSE),0)</f>
        <v>Thai</v>
      </c>
      <c r="G19" s="8" t="str">
        <f>IFERROR(VLOOKUP(B19,'Runner List'!$B$3:$O$505,10,FALSE),0)</f>
        <v>MKT50</v>
      </c>
      <c r="H19" s="52">
        <f t="shared" ca="1" si="1"/>
        <v>45550.204535532408</v>
      </c>
      <c r="I19" s="76">
        <f>IFERROR(VLOOKUP(B19,'Runner List'!$B$3:$O$505,12,FALSE),0)</f>
        <v>0.20833333333333334</v>
      </c>
    </row>
    <row r="20" spans="1:9" ht="36" customHeight="1">
      <c r="A20" s="8">
        <v>17</v>
      </c>
      <c r="B20" s="49">
        <v>5037</v>
      </c>
      <c r="C20" s="10" t="str">
        <f>IFERROR(VLOOKUP(B20,'Runner List'!$B$3:$OT$505,5,FALSE),0)</f>
        <v>JITRA TOIM</v>
      </c>
      <c r="D20" s="8" t="str">
        <f>IFERROR(VLOOKUP(B20,'Runner List'!$B$3:$O$505,7,FALSE),0)</f>
        <v>Female</v>
      </c>
      <c r="E20" s="8" t="str">
        <f>IFERROR(VLOOKUP(B20,'Runner List'!$B$3:$O$505,8,FALSE),0)</f>
        <v>40-49</v>
      </c>
      <c r="F20" s="8" t="str">
        <f>IFERROR(VLOOKUP(B20,'Runner List'!$B$3:$O$505,9,FALSE),0)</f>
        <v>Thai</v>
      </c>
      <c r="G20" s="8" t="str">
        <f>IFERROR(VLOOKUP(B20,'Runner List'!$B$3:$O$505,10,FALSE),0)</f>
        <v>MKT50</v>
      </c>
      <c r="H20" s="52">
        <f t="shared" ca="1" si="1"/>
        <v>45550.204587962966</v>
      </c>
      <c r="I20" s="76">
        <f>IFERROR(VLOOKUP(B20,'Runner List'!$B$3:$O$505,12,FALSE),0)</f>
        <v>0.20833333333333334</v>
      </c>
    </row>
    <row r="21" spans="1:9" ht="36" customHeight="1">
      <c r="A21" s="8">
        <v>18</v>
      </c>
      <c r="B21" s="49">
        <v>5022</v>
      </c>
      <c r="C21" s="10" t="str">
        <f>IFERROR(VLOOKUP(B21,'Runner List'!$B$3:$OT$505,5,FALSE),0)</f>
        <v>WEERAWAT SHATAREEYAKUL</v>
      </c>
      <c r="D21" s="8" t="str">
        <f>IFERROR(VLOOKUP(B21,'Runner List'!$B$3:$O$505,7,FALSE),0)</f>
        <v>Male</v>
      </c>
      <c r="E21" s="8" t="str">
        <f>IFERROR(VLOOKUP(B21,'Runner List'!$B$3:$O$505,8,FALSE),0)</f>
        <v>40-49</v>
      </c>
      <c r="F21" s="8" t="str">
        <f>IFERROR(VLOOKUP(B21,'Runner List'!$B$3:$O$505,9,FALSE),0)</f>
        <v>Thai</v>
      </c>
      <c r="G21" s="8" t="str">
        <f>IFERROR(VLOOKUP(B21,'Runner List'!$B$3:$O$505,10,FALSE),0)</f>
        <v>MKT50</v>
      </c>
      <c r="H21" s="52">
        <f t="shared" ca="1" si="1"/>
        <v>45550.204693981483</v>
      </c>
      <c r="I21" s="76">
        <f>IFERROR(VLOOKUP(B21,'Runner List'!$B$3:$O$505,12,FALSE),0)</f>
        <v>0.20833333333333334</v>
      </c>
    </row>
    <row r="22" spans="1:9" ht="36" customHeight="1">
      <c r="A22" s="8">
        <v>19</v>
      </c>
      <c r="B22" s="49">
        <v>5049</v>
      </c>
      <c r="C22" s="10" t="str">
        <f>IFERROR(VLOOKUP(B22,'Runner List'!$B$3:$OT$505,5,FALSE),0)</f>
        <v>SURAPONG PORNPRADIT</v>
      </c>
      <c r="D22" s="8" t="str">
        <f>IFERROR(VLOOKUP(B22,'Runner List'!$B$3:$O$505,7,FALSE),0)</f>
        <v>Male</v>
      </c>
      <c r="E22" s="8" t="str">
        <f>IFERROR(VLOOKUP(B22,'Runner List'!$B$3:$O$505,8,FALSE),0)</f>
        <v>60 Plus</v>
      </c>
      <c r="F22" s="8" t="str">
        <f>IFERROR(VLOOKUP(B22,'Runner List'!$B$3:$O$505,9,FALSE),0)</f>
        <v>Thai</v>
      </c>
      <c r="G22" s="8" t="str">
        <f>IFERROR(VLOOKUP(B22,'Runner List'!$B$3:$O$505,10,FALSE),0)</f>
        <v>MKT50</v>
      </c>
      <c r="H22" s="52">
        <f t="shared" ca="1" si="1"/>
        <v>45550.204728703706</v>
      </c>
      <c r="I22" s="76">
        <f>IFERROR(VLOOKUP(B22,'Runner List'!$B$3:$O$505,12,FALSE),0)</f>
        <v>0.20833333333333334</v>
      </c>
    </row>
    <row r="23" spans="1:9" ht="36" customHeight="1">
      <c r="A23" s="8">
        <v>20</v>
      </c>
      <c r="B23" s="49">
        <v>5035</v>
      </c>
      <c r="C23" s="10" t="str">
        <f>IFERROR(VLOOKUP(B23,'Runner List'!$B$3:$OT$505,5,FALSE),0)</f>
        <v>PEERAPON BOONSRISOD</v>
      </c>
      <c r="D23" s="8" t="str">
        <f>IFERROR(VLOOKUP(B23,'Runner List'!$B$3:$O$505,7,FALSE),0)</f>
        <v>Male</v>
      </c>
      <c r="E23" s="8" t="str">
        <f>IFERROR(VLOOKUP(B23,'Runner List'!$B$3:$O$505,8,FALSE),0)</f>
        <v>50-59</v>
      </c>
      <c r="F23" s="8" t="str">
        <f>IFERROR(VLOOKUP(B23,'Runner List'!$B$3:$O$505,9,FALSE),0)</f>
        <v>Thai</v>
      </c>
      <c r="G23" s="8" t="str">
        <f>IFERROR(VLOOKUP(B23,'Runner List'!$B$3:$O$505,10,FALSE),0)</f>
        <v>MKT50</v>
      </c>
      <c r="H23" s="52">
        <f t="shared" ca="1" si="1"/>
        <v>45550.204765856484</v>
      </c>
      <c r="I23" s="76">
        <f>IFERROR(VLOOKUP(B23,'Runner List'!$B$3:$O$505,12,FALSE),0)</f>
        <v>0.20833333333333334</v>
      </c>
    </row>
    <row r="24" spans="1:9" ht="36" customHeight="1">
      <c r="A24" s="8">
        <v>21</v>
      </c>
      <c r="B24" s="49">
        <v>5025</v>
      </c>
      <c r="C24" s="10" t="str">
        <f>IFERROR(VLOOKUP(B24,'Runner List'!$B$3:$OT$505,5,FALSE),0)</f>
        <v>NOTTHAKIT KASEE</v>
      </c>
      <c r="D24" s="8" t="str">
        <f>IFERROR(VLOOKUP(B24,'Runner List'!$B$3:$O$505,7,FALSE),0)</f>
        <v>Male</v>
      </c>
      <c r="E24" s="8" t="str">
        <f>IFERROR(VLOOKUP(B24,'Runner List'!$B$3:$O$505,8,FALSE),0)</f>
        <v>50-59</v>
      </c>
      <c r="F24" s="8" t="str">
        <f>IFERROR(VLOOKUP(B24,'Runner List'!$B$3:$O$505,9,FALSE),0)</f>
        <v>Thai</v>
      </c>
      <c r="G24" s="8" t="str">
        <f>IFERROR(VLOOKUP(B24,'Runner List'!$B$3:$O$505,10,FALSE),0)</f>
        <v>MKT50</v>
      </c>
      <c r="H24" s="52">
        <f t="shared" ca="1" si="1"/>
        <v>45550.204801157408</v>
      </c>
      <c r="I24" s="76">
        <f>IFERROR(VLOOKUP(B24,'Runner List'!$B$3:$O$505,12,FALSE),0)</f>
        <v>0.20833333333333334</v>
      </c>
    </row>
    <row r="25" spans="1:9" ht="36" customHeight="1">
      <c r="A25" s="8">
        <v>22</v>
      </c>
      <c r="B25" s="49">
        <v>5039</v>
      </c>
      <c r="C25" s="10" t="str">
        <f>IFERROR(VLOOKUP(B25,'Runner List'!$B$3:$OT$505,5,FALSE),0)</f>
        <v>KITTIVUT KAEWPRASERT</v>
      </c>
      <c r="D25" s="8" t="str">
        <f>IFERROR(VLOOKUP(B25,'Runner List'!$B$3:$O$505,7,FALSE),0)</f>
        <v>Male</v>
      </c>
      <c r="E25" s="8" t="str">
        <f>IFERROR(VLOOKUP(B25,'Runner List'!$B$3:$O$505,8,FALSE),0)</f>
        <v>40-49</v>
      </c>
      <c r="F25" s="8" t="str">
        <f>IFERROR(VLOOKUP(B25,'Runner List'!$B$3:$O$505,9,FALSE),0)</f>
        <v>Thai</v>
      </c>
      <c r="G25" s="8" t="str">
        <f>IFERROR(VLOOKUP(B25,'Runner List'!$B$3:$O$505,10,FALSE),0)</f>
        <v>MKT50</v>
      </c>
      <c r="H25" s="52">
        <f t="shared" ca="1" si="1"/>
        <v>45550.204888425927</v>
      </c>
      <c r="I25" s="76">
        <f>IFERROR(VLOOKUP(B25,'Runner List'!$B$3:$O$505,12,FALSE),0)</f>
        <v>0.20833333333333334</v>
      </c>
    </row>
    <row r="26" spans="1:9" ht="36" customHeight="1">
      <c r="A26" s="8">
        <v>23</v>
      </c>
      <c r="B26" s="49">
        <v>5021</v>
      </c>
      <c r="C26" s="10" t="str">
        <f>IFERROR(VLOOKUP(B26,'Runner List'!$B$3:$OT$505,5,FALSE),0)</f>
        <v>KANOKRUD GLANKWAHMDEE</v>
      </c>
      <c r="D26" s="8" t="str">
        <f>IFERROR(VLOOKUP(B26,'Runner List'!$B$3:$O$505,7,FALSE),0)</f>
        <v>Female</v>
      </c>
      <c r="E26" s="8" t="str">
        <f>IFERROR(VLOOKUP(B26,'Runner List'!$B$3:$O$505,8,FALSE),0)</f>
        <v>60 Plus</v>
      </c>
      <c r="F26" s="8" t="str">
        <f>IFERROR(VLOOKUP(B26,'Runner List'!$B$3:$O$505,9,FALSE),0)</f>
        <v>Thai</v>
      </c>
      <c r="G26" s="8" t="str">
        <f>IFERROR(VLOOKUP(B26,'Runner List'!$B$3:$O$505,10,FALSE),0)</f>
        <v>MKT50</v>
      </c>
      <c r="H26" s="52">
        <f t="shared" ca="1" si="1"/>
        <v>45550.204919328702</v>
      </c>
      <c r="I26" s="76">
        <f>IFERROR(VLOOKUP(B26,'Runner List'!$B$3:$O$505,12,FALSE),0)</f>
        <v>0.20833333333333334</v>
      </c>
    </row>
    <row r="27" spans="1:9" ht="36" customHeight="1">
      <c r="A27" s="8">
        <v>24</v>
      </c>
      <c r="B27" s="49">
        <v>5020</v>
      </c>
      <c r="C27" s="10" t="str">
        <f>IFERROR(VLOOKUP(B27,'Runner List'!$B$3:$OT$505,5,FALSE),0)</f>
        <v>BORWORNVIDHYA GLANKWAHMDEE</v>
      </c>
      <c r="D27" s="8" t="str">
        <f>IFERROR(VLOOKUP(B27,'Runner List'!$B$3:$O$505,7,FALSE),0)</f>
        <v>Male</v>
      </c>
      <c r="E27" s="8" t="str">
        <f>IFERROR(VLOOKUP(B27,'Runner List'!$B$3:$O$505,8,FALSE),0)</f>
        <v>60 Plus</v>
      </c>
      <c r="F27" s="8" t="str">
        <f>IFERROR(VLOOKUP(B27,'Runner List'!$B$3:$O$505,9,FALSE),0)</f>
        <v>Thai</v>
      </c>
      <c r="G27" s="8" t="str">
        <f>IFERROR(VLOOKUP(B27,'Runner List'!$B$3:$O$505,10,FALSE),0)</f>
        <v>MKT50</v>
      </c>
      <c r="H27" s="52">
        <f t="shared" ca="1" si="1"/>
        <v>45550.204945138888</v>
      </c>
      <c r="I27" s="76">
        <f>IFERROR(VLOOKUP(B27,'Runner List'!$B$3:$O$505,12,FALSE),0)</f>
        <v>0.20833333333333334</v>
      </c>
    </row>
    <row r="28" spans="1:9" ht="36" customHeight="1">
      <c r="A28" s="8">
        <v>25</v>
      </c>
      <c r="B28" s="49">
        <v>5027</v>
      </c>
      <c r="C28" s="10" t="str">
        <f>IFERROR(VLOOKUP(B28,'Runner List'!$B$3:$OT$505,5,FALSE),0)</f>
        <v>UMAPORN TIRAWAT</v>
      </c>
      <c r="D28" s="8" t="str">
        <f>IFERROR(VLOOKUP(B28,'Runner List'!$B$3:$O$505,7,FALSE),0)</f>
        <v>Female</v>
      </c>
      <c r="E28" s="8" t="str">
        <f>IFERROR(VLOOKUP(B28,'Runner List'!$B$3:$O$505,8,FALSE),0)</f>
        <v>50-59</v>
      </c>
      <c r="F28" s="8" t="str">
        <f>IFERROR(VLOOKUP(B28,'Runner List'!$B$3:$O$505,9,FALSE),0)</f>
        <v>Thai</v>
      </c>
      <c r="G28" s="8" t="str">
        <f>IFERROR(VLOOKUP(B28,'Runner List'!$B$3:$O$505,10,FALSE),0)</f>
        <v>MKT50</v>
      </c>
      <c r="H28" s="52">
        <f t="shared" ca="1" si="1"/>
        <v>45550.20500115741</v>
      </c>
      <c r="I28" s="76">
        <f>IFERROR(VLOOKUP(B28,'Runner List'!$B$3:$O$505,12,FALSE),0)</f>
        <v>0.20833333333333334</v>
      </c>
    </row>
    <row r="29" spans="1:9" ht="36" customHeight="1">
      <c r="A29" s="8">
        <v>26</v>
      </c>
      <c r="B29" s="49">
        <v>5019</v>
      </c>
      <c r="C29" s="10" t="str">
        <f>IFERROR(VLOOKUP(B29,'Runner List'!$B$3:$OT$505,5,FALSE),0)</f>
        <v>JAIYASIDHA GLANKWAHMDEE</v>
      </c>
      <c r="D29" s="8" t="str">
        <f>IFERROR(VLOOKUP(B29,'Runner List'!$B$3:$O$505,7,FALSE),0)</f>
        <v>Male</v>
      </c>
      <c r="E29" s="8" t="str">
        <f>IFERROR(VLOOKUP(B29,'Runner List'!$B$3:$O$505,8,FALSE),0)</f>
        <v>20-39</v>
      </c>
      <c r="F29" s="8" t="str">
        <f>IFERROR(VLOOKUP(B29,'Runner List'!$B$3:$O$505,9,FALSE),0)</f>
        <v>Thai</v>
      </c>
      <c r="G29" s="8" t="str">
        <f>IFERROR(VLOOKUP(B29,'Runner List'!$B$3:$O$505,10,FALSE),0)</f>
        <v>MKT50</v>
      </c>
      <c r="H29" s="52">
        <f t="shared" ca="1" si="0"/>
        <v>45550.20504872685</v>
      </c>
      <c r="I29" s="76">
        <f>IFERROR(VLOOKUP(B29,'Runner List'!$B$3:$O$505,12,FALSE),0)</f>
        <v>0.20833333333333334</v>
      </c>
    </row>
    <row r="30" spans="1:9" ht="36" customHeight="1">
      <c r="A30" s="8">
        <v>27</v>
      </c>
      <c r="B30" s="49">
        <v>5036</v>
      </c>
      <c r="C30" s="10" t="str">
        <f>IFERROR(VLOOKUP(B30,'Runner List'!$B$3:$OT$505,5,FALSE),0)</f>
        <v>THANAKIT PRAKAIPHISUT</v>
      </c>
      <c r="D30" s="8" t="str">
        <f>IFERROR(VLOOKUP(B30,'Runner List'!$B$3:$O$505,7,FALSE),0)</f>
        <v>Male</v>
      </c>
      <c r="E30" s="8" t="str">
        <f>IFERROR(VLOOKUP(B30,'Runner List'!$B$3:$O$505,8,FALSE),0)</f>
        <v>40-49</v>
      </c>
      <c r="F30" s="8" t="str">
        <f>IFERROR(VLOOKUP(B30,'Runner List'!$B$3:$O$505,9,FALSE),0)</f>
        <v>Thai</v>
      </c>
      <c r="G30" s="8" t="str">
        <f>IFERROR(VLOOKUP(B30,'Runner List'!$B$3:$O$505,10,FALSE),0)</f>
        <v>MKT50</v>
      </c>
      <c r="H30" s="52">
        <f t="shared" ca="1" si="0"/>
        <v>45550.205119444443</v>
      </c>
      <c r="I30" s="76">
        <f>IFERROR(VLOOKUP(B30,'Runner List'!$B$3:$O$505,12,FALSE),0)</f>
        <v>0.20833333333333334</v>
      </c>
    </row>
    <row r="31" spans="1:9" ht="36" customHeight="1">
      <c r="A31" s="8">
        <v>28</v>
      </c>
      <c r="B31" s="49">
        <v>5029</v>
      </c>
      <c r="C31" s="10" t="str">
        <f>IFERROR(VLOOKUP(B31,'Runner List'!$B$3:$OT$505,5,FALSE),0)</f>
        <v>ALBRECHT DELFT PAGADUAN</v>
      </c>
      <c r="D31" s="8" t="str">
        <f>IFERROR(VLOOKUP(B31,'Runner List'!$B$3:$O$505,7,FALSE),0)</f>
        <v>Male</v>
      </c>
      <c r="E31" s="8" t="str">
        <f>IFERROR(VLOOKUP(B31,'Runner List'!$B$3:$O$505,8,FALSE),0)</f>
        <v>40-49</v>
      </c>
      <c r="F31" s="8" t="str">
        <f>IFERROR(VLOOKUP(B31,'Runner List'!$B$3:$O$505,9,FALSE),0)</f>
        <v>Filipino</v>
      </c>
      <c r="G31" s="8" t="str">
        <f>IFERROR(VLOOKUP(B31,'Runner List'!$B$3:$O$505,10,FALSE),0)</f>
        <v>MKT50</v>
      </c>
      <c r="H31" s="52">
        <f t="shared" ca="1" si="0"/>
        <v>45550.205159143516</v>
      </c>
      <c r="I31" s="76">
        <f>IFERROR(VLOOKUP(B31,'Runner List'!$B$3:$O$505,12,FALSE),0)</f>
        <v>0.20833333333333334</v>
      </c>
    </row>
    <row r="32" spans="1:9" ht="36" customHeight="1">
      <c r="A32" s="8">
        <v>29</v>
      </c>
      <c r="B32" s="49">
        <v>5033</v>
      </c>
      <c r="C32" s="10" t="str">
        <f>IFERROR(VLOOKUP(B32,'Runner List'!$B$3:$OT$505,5,FALSE),0)</f>
        <v>THANET THAMMASRIRAK</v>
      </c>
      <c r="D32" s="8" t="str">
        <f>IFERROR(VLOOKUP(B32,'Runner List'!$B$3:$O$505,7,FALSE),0)</f>
        <v>Male</v>
      </c>
      <c r="E32" s="8" t="str">
        <f>IFERROR(VLOOKUP(B32,'Runner List'!$B$3:$O$505,8,FALSE),0)</f>
        <v>50-59</v>
      </c>
      <c r="F32" s="8" t="str">
        <f>IFERROR(VLOOKUP(B32,'Runner List'!$B$3:$O$505,9,FALSE),0)</f>
        <v>Thai</v>
      </c>
      <c r="G32" s="8" t="str">
        <f>IFERROR(VLOOKUP(B32,'Runner List'!$B$3:$O$505,10,FALSE),0)</f>
        <v>MKT50</v>
      </c>
      <c r="H32" s="52">
        <f t="shared" ca="1" si="0"/>
        <v>45550.205329976852</v>
      </c>
      <c r="I32" s="76">
        <f>IFERROR(VLOOKUP(B32,'Runner List'!$B$3:$O$505,12,FALSE),0)</f>
        <v>0.20833333333333334</v>
      </c>
    </row>
    <row r="33" spans="1:58" ht="36" customHeight="1">
      <c r="A33" s="8">
        <v>30</v>
      </c>
      <c r="B33" s="49">
        <v>5050</v>
      </c>
      <c r="C33" s="10" t="str">
        <f>IFERROR(VLOOKUP(B33,'Runner List'!$B$3:$OT$505,5,FALSE),0)</f>
        <v>THANAPHAT CHAIPOH</v>
      </c>
      <c r="D33" s="8" t="str">
        <f>IFERROR(VLOOKUP(B33,'Runner List'!$B$3:$O$505,7,FALSE),0)</f>
        <v>LGBTIQAN+</v>
      </c>
      <c r="E33" s="8">
        <f>IFERROR(VLOOKUP(B33,'Runner List'!$B$3:$O$505,8,FALSE),0)</f>
        <v>0</v>
      </c>
      <c r="F33" s="8" t="str">
        <f>IFERROR(VLOOKUP(B33,'Runner List'!$B$3:$O$505,9,FALSE),0)</f>
        <v>Thai</v>
      </c>
      <c r="G33" s="8" t="str">
        <f>IFERROR(VLOOKUP(B33,'Runner List'!$B$3:$O$505,10,FALSE),0)</f>
        <v>MKT50</v>
      </c>
      <c r="H33" s="52">
        <f t="shared" ca="1" si="0"/>
        <v>45550.205363657406</v>
      </c>
      <c r="I33" s="76">
        <f>IFERROR(VLOOKUP(B33,'Runner List'!$B$3:$O$505,12,FALSE),0)</f>
        <v>0.20833333333333334</v>
      </c>
    </row>
    <row r="34" spans="1:58" ht="36" customHeight="1">
      <c r="A34" s="8">
        <v>31</v>
      </c>
      <c r="B34" s="49">
        <v>5023</v>
      </c>
      <c r="C34" s="10" t="str">
        <f>IFERROR(VLOOKUP(B34,'Runner List'!$B$3:$OT$505,5,FALSE),0)</f>
        <v>KUNNIKA TONSAKUL</v>
      </c>
      <c r="D34" s="8" t="str">
        <f>IFERROR(VLOOKUP(B34,'Runner List'!$B$3:$O$505,7,FALSE),0)</f>
        <v>Female</v>
      </c>
      <c r="E34" s="8" t="str">
        <f>IFERROR(VLOOKUP(B34,'Runner List'!$B$3:$O$505,8,FALSE),0)</f>
        <v>50-59</v>
      </c>
      <c r="F34" s="8" t="str">
        <f>IFERROR(VLOOKUP(B34,'Runner List'!$B$3:$O$505,9,FALSE),0)</f>
        <v>Thai</v>
      </c>
      <c r="G34" s="8" t="str">
        <f>IFERROR(VLOOKUP(B34,'Runner List'!$B$3:$O$505,10,FALSE),0)</f>
        <v>MKT50</v>
      </c>
      <c r="H34" s="52">
        <f t="shared" ca="1" si="0"/>
        <v>45550.205410532406</v>
      </c>
      <c r="I34" s="76">
        <f>IFERROR(VLOOKUP(B34,'Runner List'!$B$3:$O$505,12,FALSE),0)</f>
        <v>0.20833333333333334</v>
      </c>
    </row>
    <row r="35" spans="1:58" ht="36" customHeight="1">
      <c r="A35" s="8">
        <v>32</v>
      </c>
      <c r="B35" s="49">
        <v>5028</v>
      </c>
      <c r="C35" s="10" t="str">
        <f>IFERROR(VLOOKUP(B35,'Runner List'!$B$3:$OT$505,5,FALSE),0)</f>
        <v>ANEK PATTAMALUM</v>
      </c>
      <c r="D35" s="8" t="str">
        <f>IFERROR(VLOOKUP(B35,'Runner List'!$B$3:$O$505,7,FALSE),0)</f>
        <v>Male</v>
      </c>
      <c r="E35" s="8" t="str">
        <f>IFERROR(VLOOKUP(B35,'Runner List'!$B$3:$O$505,8,FALSE),0)</f>
        <v>50-59</v>
      </c>
      <c r="F35" s="8" t="str">
        <f>IFERROR(VLOOKUP(B35,'Runner List'!$B$3:$O$505,9,FALSE),0)</f>
        <v>Thai</v>
      </c>
      <c r="G35" s="8" t="str">
        <f>IFERROR(VLOOKUP(B35,'Runner List'!$B$3:$O$505,10,FALSE),0)</f>
        <v>MKT50</v>
      </c>
      <c r="H35" s="52">
        <f t="shared" ca="1" si="0"/>
        <v>45550.205449189816</v>
      </c>
      <c r="I35" s="76">
        <f>IFERROR(VLOOKUP(B35,'Runner List'!$B$3:$O$505,12,FALSE),0)</f>
        <v>0.20833333333333334</v>
      </c>
    </row>
    <row r="36" spans="1:58" ht="36" customHeight="1">
      <c r="A36" s="8">
        <v>33</v>
      </c>
      <c r="B36" s="49">
        <v>5038</v>
      </c>
      <c r="C36" s="10" t="str">
        <f>IFERROR(VLOOKUP(B36,'Runner List'!$B$3:$OT$505,5,FALSE),0)</f>
        <v>SAMART THONGDANGNGAM</v>
      </c>
      <c r="D36" s="8" t="str">
        <f>IFERROR(VLOOKUP(B36,'Runner List'!$B$3:$O$505,7,FALSE),0)</f>
        <v>Male</v>
      </c>
      <c r="E36" s="8" t="str">
        <f>IFERROR(VLOOKUP(B36,'Runner List'!$B$3:$O$505,8,FALSE),0)</f>
        <v>40-49</v>
      </c>
      <c r="F36" s="8" t="str">
        <f>IFERROR(VLOOKUP(B36,'Runner List'!$B$3:$O$505,9,FALSE),0)</f>
        <v>Thai</v>
      </c>
      <c r="G36" s="8" t="str">
        <f>IFERROR(VLOOKUP(B36,'Runner List'!$B$3:$O$505,10,FALSE),0)</f>
        <v>MKT50</v>
      </c>
      <c r="H36" s="52">
        <f t="shared" ca="1" si="0"/>
        <v>45550.206086574071</v>
      </c>
      <c r="I36" s="76">
        <f>IFERROR(VLOOKUP(B36,'Runner List'!$B$3:$O$505,12,FALSE),0)</f>
        <v>0.20833333333333334</v>
      </c>
    </row>
    <row r="37" spans="1:58" ht="36" customHeight="1">
      <c r="A37" s="8">
        <v>34</v>
      </c>
      <c r="B37" s="49">
        <v>5042</v>
      </c>
      <c r="C37" s="10" t="str">
        <f>IFERROR(VLOOKUP(B37,'Runner List'!$B$3:$OT$505,5,FALSE),0)</f>
        <v>TIMOTHY EDWARDS</v>
      </c>
      <c r="D37" s="8" t="str">
        <f>IFERROR(VLOOKUP(B37,'Runner List'!$B$3:$O$505,7,FALSE),0)</f>
        <v>Male</v>
      </c>
      <c r="E37" s="8" t="str">
        <f>IFERROR(VLOOKUP(B37,'Runner List'!$B$3:$O$505,8,FALSE),0)</f>
        <v>40-49</v>
      </c>
      <c r="F37" s="8" t="str">
        <f>IFERROR(VLOOKUP(B37,'Runner List'!$B$3:$O$505,9,FALSE),0)</f>
        <v>USA</v>
      </c>
      <c r="G37" s="8" t="str">
        <f>IFERROR(VLOOKUP(B37,'Runner List'!$B$3:$O$505,10,FALSE),0)</f>
        <v>MKT50</v>
      </c>
      <c r="H37" s="52">
        <f t="shared" ca="1" si="0"/>
        <v>45550.206390740743</v>
      </c>
      <c r="I37" s="76">
        <f>IFERROR(VLOOKUP(B37,'Runner List'!$B$3:$O$505,12,FALSE),0)</f>
        <v>0.20833333333333334</v>
      </c>
    </row>
    <row r="38" spans="1:58" ht="36" customHeight="1">
      <c r="A38" s="8">
        <v>35</v>
      </c>
      <c r="B38" s="49">
        <v>5031</v>
      </c>
      <c r="C38" s="10" t="str">
        <f>IFERROR(VLOOKUP(B38,'Runner List'!$B$3:$OT$505,5,FALSE),0)</f>
        <v>EAKKAMOL INTUSOPON</v>
      </c>
      <c r="D38" s="8" t="str">
        <f>IFERROR(VLOOKUP(B38,'Runner List'!$B$3:$O$505,7,FALSE),0)</f>
        <v>Male</v>
      </c>
      <c r="E38" s="8" t="str">
        <f>IFERROR(VLOOKUP(B38,'Runner List'!$B$3:$O$505,8,FALSE),0)</f>
        <v>40-49</v>
      </c>
      <c r="F38" s="8" t="str">
        <f>IFERROR(VLOOKUP(B38,'Runner List'!$B$3:$O$505,9,FALSE),0)</f>
        <v>Thai</v>
      </c>
      <c r="G38" s="8" t="str">
        <f>IFERROR(VLOOKUP(B38,'Runner List'!$B$3:$O$505,10,FALSE),0)</f>
        <v>MKT50</v>
      </c>
      <c r="H38" s="52">
        <f t="shared" ca="1" si="0"/>
        <v>45550.206510416669</v>
      </c>
      <c r="I38" s="76">
        <f>IFERROR(VLOOKUP(B38,'Runner List'!$B$3:$O$505,12,FALSE),0)</f>
        <v>0.20833333333333334</v>
      </c>
      <c r="BF38">
        <v>14000</v>
      </c>
    </row>
    <row r="39" spans="1:58" ht="36" customHeight="1">
      <c r="A39" s="8">
        <v>36</v>
      </c>
      <c r="B39" s="49">
        <v>3348</v>
      </c>
      <c r="C39" s="10" t="str">
        <f>IFERROR(VLOOKUP(B39,'Runner List'!$B$3:$OT$505,5,FALSE),0)</f>
        <v>OLIVER HELM</v>
      </c>
      <c r="D39" s="8" t="str">
        <f>IFERROR(VLOOKUP(B39,'Runner List'!$B$3:$O$505,7,FALSE),0)</f>
        <v>Male</v>
      </c>
      <c r="E39" s="8" t="str">
        <f>IFERROR(VLOOKUP(B39,'Runner List'!$B$3:$O$505,8,FALSE),0)</f>
        <v>20-39</v>
      </c>
      <c r="F39" s="8" t="str">
        <f>IFERROR(VLOOKUP(B39,'Runner List'!$B$3:$O$505,9,FALSE),0)</f>
        <v>New Zealand</v>
      </c>
      <c r="G39" s="8" t="str">
        <f>IFERROR(VLOOKUP(B39,'Runner List'!$B$3:$O$505,10,FALSE),0)</f>
        <v>MKT33</v>
      </c>
      <c r="H39" s="52">
        <f t="shared" ca="1" si="0"/>
        <v>45550.226089467593</v>
      </c>
      <c r="I39" s="76">
        <f>IFERROR(VLOOKUP(B39,'Runner List'!$B$3:$O$505,12,FALSE),0)</f>
        <v>0.22916666666666666</v>
      </c>
    </row>
    <row r="40" spans="1:58" ht="36" customHeight="1">
      <c r="A40" s="8">
        <v>37</v>
      </c>
      <c r="B40" s="49">
        <v>3301</v>
      </c>
      <c r="C40" s="10" t="str">
        <f>IFERROR(VLOOKUP(B40,'Runner List'!$B$3:$OT$505,5,FALSE),0)</f>
        <v>BLAKE WICHTOWSKI</v>
      </c>
      <c r="D40" s="8" t="str">
        <f>IFERROR(VLOOKUP(B40,'Runner List'!$B$3:$O$505,7,FALSE),0)</f>
        <v>Male</v>
      </c>
      <c r="E40" s="8" t="str">
        <f>IFERROR(VLOOKUP(B40,'Runner List'!$B$3:$O$505,8,FALSE),0)</f>
        <v>20-39</v>
      </c>
      <c r="F40" s="8" t="str">
        <f>IFERROR(VLOOKUP(B40,'Runner List'!$B$3:$O$505,9,FALSE),0)</f>
        <v>Thai</v>
      </c>
      <c r="G40" s="8" t="str">
        <f>IFERROR(VLOOKUP(B40,'Runner List'!$B$3:$O$505,10,FALSE),0)</f>
        <v>MKT33</v>
      </c>
      <c r="H40" s="52">
        <f t="shared" ca="1" si="0"/>
        <v>45550.226105324073</v>
      </c>
      <c r="I40" s="76">
        <f>IFERROR(VLOOKUP(B40,'Runner List'!$B$3:$O$505,12,FALSE),0)</f>
        <v>0.22916666666666666</v>
      </c>
    </row>
    <row r="41" spans="1:58" ht="36" customHeight="1">
      <c r="A41" s="8">
        <v>38</v>
      </c>
      <c r="B41" s="49">
        <v>3368</v>
      </c>
      <c r="C41" s="10" t="str">
        <f>IFERROR(VLOOKUP(B41,'Runner List'!$B$3:$OT$505,5,FALSE),0)</f>
        <v>TOTSAPORN MUAMGNGAM</v>
      </c>
      <c r="D41" s="8" t="str">
        <f>IFERROR(VLOOKUP(B41,'Runner List'!$B$3:$O$505,7,FALSE),0)</f>
        <v>Female</v>
      </c>
      <c r="E41" s="8" t="str">
        <f>IFERROR(VLOOKUP(B41,'Runner List'!$B$3:$O$505,8,FALSE),0)</f>
        <v>20-39</v>
      </c>
      <c r="F41" s="8" t="str">
        <f>IFERROR(VLOOKUP(B41,'Runner List'!$B$3:$O$505,9,FALSE),0)</f>
        <v>Thai</v>
      </c>
      <c r="G41" s="8" t="str">
        <f>IFERROR(VLOOKUP(B41,'Runner List'!$B$3:$O$505,10,FALSE),0)</f>
        <v>MKT33</v>
      </c>
      <c r="H41" s="52">
        <f t="shared" ca="1" si="0"/>
        <v>45550.226159606478</v>
      </c>
      <c r="I41" s="76">
        <f>IFERROR(VLOOKUP(B41,'Runner List'!$B$3:$O$505,12,FALSE),0)</f>
        <v>0.22916666666666666</v>
      </c>
    </row>
    <row r="42" spans="1:58" ht="36" customHeight="1">
      <c r="A42" s="8">
        <v>39</v>
      </c>
      <c r="B42" s="49">
        <v>3375</v>
      </c>
      <c r="C42" s="10" t="str">
        <f>IFERROR(VLOOKUP(B42,'Runner List'!$B$3:$OT$505,5,FALSE),0)</f>
        <v>BENYADA YOSHSINGCOME</v>
      </c>
      <c r="D42" s="8" t="str">
        <f>IFERROR(VLOOKUP(B42,'Runner List'!$B$3:$O$505,7,FALSE),0)</f>
        <v>Female</v>
      </c>
      <c r="E42" s="8" t="str">
        <f>IFERROR(VLOOKUP(B42,'Runner List'!$B$3:$O$505,8,FALSE),0)</f>
        <v>40-49</v>
      </c>
      <c r="F42" s="8" t="str">
        <f>IFERROR(VLOOKUP(B42,'Runner List'!$B$3:$O$505,9,FALSE),0)</f>
        <v>Thai</v>
      </c>
      <c r="G42" s="8" t="str">
        <f>IFERROR(VLOOKUP(B42,'Runner List'!$B$3:$O$505,10,FALSE),0)</f>
        <v>MKT33</v>
      </c>
      <c r="H42" s="52">
        <f t="shared" ca="1" si="0"/>
        <v>45550.226180787038</v>
      </c>
      <c r="I42" s="76">
        <f>IFERROR(VLOOKUP(B42,'Runner List'!$B$3:$O$505,12,FALSE),0)</f>
        <v>0.22916666666666666</v>
      </c>
    </row>
    <row r="43" spans="1:58" ht="36" customHeight="1">
      <c r="A43" s="8">
        <v>40</v>
      </c>
      <c r="B43" s="49">
        <v>3374</v>
      </c>
      <c r="C43" s="10" t="str">
        <f>IFERROR(VLOOKUP(B43,'Runner List'!$B$3:$OT$505,5,FALSE),0)</f>
        <v>JULARRUCK LOMPAIBOON</v>
      </c>
      <c r="D43" s="8" t="str">
        <f>IFERROR(VLOOKUP(B43,'Runner List'!$B$3:$O$505,7,FALSE),0)</f>
        <v>Female</v>
      </c>
      <c r="E43" s="8" t="str">
        <f>IFERROR(VLOOKUP(B43,'Runner List'!$B$3:$O$505,8,FALSE),0)</f>
        <v>60 Plus</v>
      </c>
      <c r="F43" s="8" t="str">
        <f>IFERROR(VLOOKUP(B43,'Runner List'!$B$3:$O$505,9,FALSE),0)</f>
        <v>Thai</v>
      </c>
      <c r="G43" s="8" t="str">
        <f>IFERROR(VLOOKUP(B43,'Runner List'!$B$3:$O$505,10,FALSE),0)</f>
        <v>MKT33</v>
      </c>
      <c r="H43" s="52">
        <f t="shared" ca="1" si="0"/>
        <v>45550.226207523148</v>
      </c>
      <c r="I43" s="76">
        <f>IFERROR(VLOOKUP(B43,'Runner List'!$B$3:$O$505,12,FALSE),0)</f>
        <v>0.22916666666666666</v>
      </c>
    </row>
    <row r="44" spans="1:58" ht="36" customHeight="1">
      <c r="A44" s="8">
        <v>41</v>
      </c>
      <c r="B44" s="49">
        <v>3320</v>
      </c>
      <c r="C44" s="10" t="str">
        <f>IFERROR(VLOOKUP(B44,'Runner List'!$B$3:$OT$505,5,FALSE),0)</f>
        <v>VATCHARA PUMNOI</v>
      </c>
      <c r="D44" s="8" t="str">
        <f>IFERROR(VLOOKUP(B44,'Runner List'!$B$3:$O$505,7,FALSE),0)</f>
        <v>Male</v>
      </c>
      <c r="E44" s="8" t="str">
        <f>IFERROR(VLOOKUP(B44,'Runner List'!$B$3:$O$505,8,FALSE),0)</f>
        <v>50-59</v>
      </c>
      <c r="F44" s="8" t="str">
        <f>IFERROR(VLOOKUP(B44,'Runner List'!$B$3:$O$505,9,FALSE),0)</f>
        <v>Thai</v>
      </c>
      <c r="G44" s="8" t="str">
        <f>IFERROR(VLOOKUP(B44,'Runner List'!$B$3:$O$505,10,FALSE),0)</f>
        <v>MKT33</v>
      </c>
      <c r="H44" s="52">
        <f t="shared" ca="1" si="0"/>
        <v>45550.226295370368</v>
      </c>
      <c r="I44" s="76">
        <f>IFERROR(VLOOKUP(B44,'Runner List'!$B$3:$O$505,12,FALSE),0)</f>
        <v>0.22916666666666666</v>
      </c>
    </row>
    <row r="45" spans="1:58" ht="36" customHeight="1">
      <c r="A45" s="8">
        <v>42</v>
      </c>
      <c r="B45" s="49">
        <v>3321</v>
      </c>
      <c r="C45" s="10" t="str">
        <f>IFERROR(VLOOKUP(B45,'Runner List'!$B$3:$OT$505,5,FALSE),0)</f>
        <v>KHAMNONG SEEDA</v>
      </c>
      <c r="D45" s="8" t="str">
        <f>IFERROR(VLOOKUP(B45,'Runner List'!$B$3:$O$505,7,FALSE),0)</f>
        <v>Female</v>
      </c>
      <c r="E45" s="8" t="str">
        <f>IFERROR(VLOOKUP(B45,'Runner List'!$B$3:$O$505,8,FALSE),0)</f>
        <v>20-39</v>
      </c>
      <c r="F45" s="8" t="str">
        <f>IFERROR(VLOOKUP(B45,'Runner List'!$B$3:$O$505,9,FALSE),0)</f>
        <v>Thai</v>
      </c>
      <c r="G45" s="8" t="str">
        <f>IFERROR(VLOOKUP(B45,'Runner List'!$B$3:$O$505,10,FALSE),0)</f>
        <v>MKT33</v>
      </c>
      <c r="H45" s="52">
        <f t="shared" ca="1" si="0"/>
        <v>45550.226358333333</v>
      </c>
      <c r="I45" s="76">
        <f>IFERROR(VLOOKUP(B45,'Runner List'!$B$3:$O$505,12,FALSE),0)</f>
        <v>0.22916666666666666</v>
      </c>
    </row>
    <row r="46" spans="1:58" ht="36" customHeight="1">
      <c r="A46" s="8">
        <v>43</v>
      </c>
      <c r="B46" s="49">
        <v>3379</v>
      </c>
      <c r="C46" s="10" t="str">
        <f>IFERROR(VLOOKUP(B46,'Runner List'!$B$3:$OT$505,5,FALSE),0)</f>
        <v>ITTIPON UPPAPONG</v>
      </c>
      <c r="D46" s="8" t="str">
        <f>IFERROR(VLOOKUP(B46,'Runner List'!$B$3:$O$505,7,FALSE),0)</f>
        <v>Male</v>
      </c>
      <c r="E46" s="8" t="str">
        <f>IFERROR(VLOOKUP(B46,'Runner List'!$B$3:$O$505,8,FALSE),0)</f>
        <v>20-39</v>
      </c>
      <c r="F46" s="8" t="str">
        <f>IFERROR(VLOOKUP(B46,'Runner List'!$B$3:$O$505,9,FALSE),0)</f>
        <v>Thai</v>
      </c>
      <c r="G46" s="8" t="str">
        <f>IFERROR(VLOOKUP(B46,'Runner List'!$B$3:$O$505,10,FALSE),0)</f>
        <v>MKT33</v>
      </c>
      <c r="H46" s="52">
        <f t="shared" ca="1" si="0"/>
        <v>45550.226429629627</v>
      </c>
      <c r="I46" s="76">
        <f>IFERROR(VLOOKUP(B46,'Runner List'!$B$3:$O$505,12,FALSE),0)</f>
        <v>0.22916666666666666</v>
      </c>
    </row>
    <row r="47" spans="1:58" ht="36" customHeight="1">
      <c r="A47" s="8">
        <v>44</v>
      </c>
      <c r="B47" s="49">
        <v>3341</v>
      </c>
      <c r="C47" s="10" t="str">
        <f>IFERROR(VLOOKUP(B47,'Runner List'!$B$3:$OT$505,5,FALSE),0)</f>
        <v>KAMOL WATTANAPANICH</v>
      </c>
      <c r="D47" s="8" t="str">
        <f>IFERROR(VLOOKUP(B47,'Runner List'!$B$3:$O$505,7,FALSE),0)</f>
        <v>Male</v>
      </c>
      <c r="E47" s="8" t="str">
        <f>IFERROR(VLOOKUP(B47,'Runner List'!$B$3:$O$505,8,FALSE),0)</f>
        <v>50-59</v>
      </c>
      <c r="F47" s="8" t="str">
        <f>IFERROR(VLOOKUP(B47,'Runner List'!$B$3:$O$505,9,FALSE),0)</f>
        <v>Thai</v>
      </c>
      <c r="G47" s="8" t="str">
        <f>IFERROR(VLOOKUP(B47,'Runner List'!$B$3:$O$505,10,FALSE),0)</f>
        <v>MKT33</v>
      </c>
      <c r="H47" s="52">
        <f t="shared" ca="1" si="0"/>
        <v>45550.226454629628</v>
      </c>
      <c r="I47" s="76">
        <f>IFERROR(VLOOKUP(B47,'Runner List'!$B$3:$O$505,12,FALSE),0)</f>
        <v>0.22916666666666666</v>
      </c>
    </row>
    <row r="48" spans="1:58" ht="36" customHeight="1">
      <c r="A48" s="8">
        <v>45</v>
      </c>
      <c r="B48" s="49">
        <v>3390</v>
      </c>
      <c r="C48" s="10" t="str">
        <f>IFERROR(VLOOKUP(B48,'Runner List'!$B$3:$OT$505,5,FALSE),0)</f>
        <v>URAIWAN JINAPHO</v>
      </c>
      <c r="D48" s="8" t="str">
        <f>IFERROR(VLOOKUP(B48,'Runner List'!$B$3:$O$505,7,FALSE),0)</f>
        <v>Female</v>
      </c>
      <c r="E48" s="8" t="str">
        <f>IFERROR(VLOOKUP(B48,'Runner List'!$B$3:$O$505,8,FALSE),0)</f>
        <v>20-39</v>
      </c>
      <c r="F48" s="8" t="str">
        <f>IFERROR(VLOOKUP(B48,'Runner List'!$B$3:$O$505,9,FALSE),0)</f>
        <v>Thai</v>
      </c>
      <c r="G48" s="8" t="str">
        <f>IFERROR(VLOOKUP(B48,'Runner List'!$B$3:$O$505,10,FALSE),0)</f>
        <v>MKT33</v>
      </c>
      <c r="H48" s="52">
        <f t="shared" ca="1" si="0"/>
        <v>45550.22648946759</v>
      </c>
      <c r="I48" s="76">
        <f>IFERROR(VLOOKUP(B48,'Runner List'!$B$3:$O$505,12,FALSE),0)</f>
        <v>0.22916666666666666</v>
      </c>
    </row>
    <row r="49" spans="1:9" ht="36" customHeight="1">
      <c r="A49" s="8">
        <v>46</v>
      </c>
      <c r="B49" s="49">
        <v>3326</v>
      </c>
      <c r="C49" s="10" t="str">
        <f>IFERROR(VLOOKUP(B49,'Runner List'!$B$3:$OT$505,5,FALSE),0)</f>
        <v>JANTHIMA CHOTISTHAYANGURA</v>
      </c>
      <c r="D49" s="8" t="str">
        <f>IFERROR(VLOOKUP(B49,'Runner List'!$B$3:$O$505,7,FALSE),0)</f>
        <v>Female</v>
      </c>
      <c r="E49" s="8" t="str">
        <f>IFERROR(VLOOKUP(B49,'Runner List'!$B$3:$O$505,8,FALSE),0)</f>
        <v>50-59</v>
      </c>
      <c r="F49" s="8" t="str">
        <f>IFERROR(VLOOKUP(B49,'Runner List'!$B$3:$O$505,9,FALSE),0)</f>
        <v>Thai</v>
      </c>
      <c r="G49" s="8" t="str">
        <f>IFERROR(VLOOKUP(B49,'Runner List'!$B$3:$O$505,10,FALSE),0)</f>
        <v>MKT33</v>
      </c>
      <c r="H49" s="52">
        <f t="shared" ca="1" si="0"/>
        <v>45550.226524074074</v>
      </c>
      <c r="I49" s="76">
        <f>IFERROR(VLOOKUP(B49,'Runner List'!$B$3:$O$505,12,FALSE),0)</f>
        <v>0.22916666666666666</v>
      </c>
    </row>
    <row r="50" spans="1:9" ht="36" customHeight="1">
      <c r="A50" s="8">
        <v>47</v>
      </c>
      <c r="B50" s="49">
        <v>3325</v>
      </c>
      <c r="C50" s="10" t="str">
        <f>IFERROR(VLOOKUP(B50,'Runner List'!$B$3:$OT$505,5,FALSE),0)</f>
        <v>DARANEE CHOTISTHAYANGURA</v>
      </c>
      <c r="D50" s="8" t="str">
        <f>IFERROR(VLOOKUP(B50,'Runner List'!$B$3:$O$505,7,FALSE),0)</f>
        <v>Female</v>
      </c>
      <c r="E50" s="8" t="str">
        <f>IFERROR(VLOOKUP(B50,'Runner List'!$B$3:$O$505,8,FALSE),0)</f>
        <v>50-59</v>
      </c>
      <c r="F50" s="8" t="str">
        <f>IFERROR(VLOOKUP(B50,'Runner List'!$B$3:$O$505,9,FALSE),0)</f>
        <v>Thai</v>
      </c>
      <c r="G50" s="8" t="str">
        <f>IFERROR(VLOOKUP(B50,'Runner List'!$B$3:$O$505,10,FALSE),0)</f>
        <v>MKT33</v>
      </c>
      <c r="H50" s="52">
        <f t="shared" ca="1" si="0"/>
        <v>45550.22655821759</v>
      </c>
      <c r="I50" s="76">
        <f>IFERROR(VLOOKUP(B50,'Runner List'!$B$3:$O$505,12,FALSE),0)</f>
        <v>0.22916666666666666</v>
      </c>
    </row>
    <row r="51" spans="1:9" ht="36" customHeight="1">
      <c r="A51" s="8">
        <v>48</v>
      </c>
      <c r="B51" s="49">
        <v>3324</v>
      </c>
      <c r="C51" s="10" t="str">
        <f>IFERROR(VLOOKUP(B51,'Runner List'!$B$3:$OT$505,5,FALSE),0)</f>
        <v>NADHAKAN SHINNARANANTANA</v>
      </c>
      <c r="D51" s="8" t="str">
        <f>IFERROR(VLOOKUP(B51,'Runner List'!$B$3:$O$505,7,FALSE),0)</f>
        <v>Female</v>
      </c>
      <c r="E51" s="8" t="str">
        <f>IFERROR(VLOOKUP(B51,'Runner List'!$B$3:$O$505,8,FALSE),0)</f>
        <v>40-49</v>
      </c>
      <c r="F51" s="8" t="str">
        <f>IFERROR(VLOOKUP(B51,'Runner List'!$B$3:$O$505,9,FALSE),0)</f>
        <v>Thai</v>
      </c>
      <c r="G51" s="8" t="str">
        <f>IFERROR(VLOOKUP(B51,'Runner List'!$B$3:$O$505,10,FALSE),0)</f>
        <v>MKT33</v>
      </c>
      <c r="H51" s="52">
        <f t="shared" ca="1" si="0"/>
        <v>45550.226594560183</v>
      </c>
      <c r="I51" s="76">
        <f>IFERROR(VLOOKUP(B51,'Runner List'!$B$3:$O$505,12,FALSE),0)</f>
        <v>0.22916666666666666</v>
      </c>
    </row>
    <row r="52" spans="1:9" ht="36" customHeight="1">
      <c r="A52" s="8">
        <v>49</v>
      </c>
      <c r="B52" s="49">
        <v>3327</v>
      </c>
      <c r="C52" s="10" t="str">
        <f>IFERROR(VLOOKUP(B52,'Runner List'!$B$3:$OT$505,5,FALSE),0)</f>
        <v>NONGLUCK SERMSUPT</v>
      </c>
      <c r="D52" s="8" t="str">
        <f>IFERROR(VLOOKUP(B52,'Runner List'!$B$3:$O$505,7,FALSE),0)</f>
        <v>Female</v>
      </c>
      <c r="E52" s="8" t="str">
        <f>IFERROR(VLOOKUP(B52,'Runner List'!$B$3:$O$505,8,FALSE),0)</f>
        <v>50-59</v>
      </c>
      <c r="F52" s="8" t="str">
        <f>IFERROR(VLOOKUP(B52,'Runner List'!$B$3:$O$505,9,FALSE),0)</f>
        <v>Thai</v>
      </c>
      <c r="G52" s="8" t="str">
        <f>IFERROR(VLOOKUP(B52,'Runner List'!$B$3:$O$505,10,FALSE),0)</f>
        <v>MKT33</v>
      </c>
      <c r="H52" s="52">
        <f t="shared" ca="1" si="0"/>
        <v>45550.226615046297</v>
      </c>
      <c r="I52" s="76">
        <f>IFERROR(VLOOKUP(B52,'Runner List'!$B$3:$O$505,12,FALSE),0)</f>
        <v>0.22916666666666666</v>
      </c>
    </row>
    <row r="53" spans="1:9" ht="36" customHeight="1">
      <c r="A53" s="8">
        <v>50</v>
      </c>
      <c r="B53" s="49">
        <v>3350</v>
      </c>
      <c r="C53" s="10" t="str">
        <f>IFERROR(VLOOKUP(B53,'Runner List'!$B$3:$OT$505,5,FALSE),0)</f>
        <v>STEFAN ENGEL</v>
      </c>
      <c r="D53" s="8" t="str">
        <f>IFERROR(VLOOKUP(B53,'Runner List'!$B$3:$O$505,7,FALSE),0)</f>
        <v>Male</v>
      </c>
      <c r="E53" s="8" t="str">
        <f>IFERROR(VLOOKUP(B53,'Runner List'!$B$3:$O$505,8,FALSE),0)</f>
        <v>40-49</v>
      </c>
      <c r="F53" s="8" t="str">
        <f>IFERROR(VLOOKUP(B53,'Runner List'!$B$3:$O$505,9,FALSE),0)</f>
        <v>Swiss</v>
      </c>
      <c r="G53" s="8" t="str">
        <f>IFERROR(VLOOKUP(B53,'Runner List'!$B$3:$O$505,10,FALSE),0)</f>
        <v>MKT33</v>
      </c>
      <c r="H53" s="52">
        <f t="shared" ca="1" si="0"/>
        <v>45550.226664120368</v>
      </c>
      <c r="I53" s="76">
        <f>IFERROR(VLOOKUP(B53,'Runner List'!$B$3:$O$505,12,FALSE),0)</f>
        <v>0.22916666666666666</v>
      </c>
    </row>
    <row r="54" spans="1:9" ht="36" customHeight="1">
      <c r="A54" s="8">
        <v>51</v>
      </c>
      <c r="B54" s="49">
        <v>3358</v>
      </c>
      <c r="C54" s="10" t="str">
        <f>IFERROR(VLOOKUP(B54,'Runner List'!$B$3:$OT$505,5,FALSE),0)</f>
        <v>SIRIWAN PHOMIN</v>
      </c>
      <c r="D54" s="8" t="str">
        <f>IFERROR(VLOOKUP(B54,'Runner List'!$B$3:$O$505,7,FALSE),0)</f>
        <v>LGBTIQAN+</v>
      </c>
      <c r="E54" s="8" t="str">
        <f>IFERROR(VLOOKUP(B54,'Runner List'!$B$3:$O$505,8,FALSE),0)</f>
        <v>20-39</v>
      </c>
      <c r="F54" s="8" t="str">
        <f>IFERROR(VLOOKUP(B54,'Runner List'!$B$3:$O$505,9,FALSE),0)</f>
        <v>Thai</v>
      </c>
      <c r="G54" s="8" t="str">
        <f>IFERROR(VLOOKUP(B54,'Runner List'!$B$3:$O$505,10,FALSE),0)</f>
        <v>MKT33</v>
      </c>
      <c r="H54" s="52">
        <f t="shared" ca="1" si="0"/>
        <v>45550.226709374998</v>
      </c>
      <c r="I54" s="76">
        <f>IFERROR(VLOOKUP(B54,'Runner List'!$B$3:$O$505,12,FALSE),0)</f>
        <v>0.22916666666666666</v>
      </c>
    </row>
    <row r="55" spans="1:9" ht="36" customHeight="1">
      <c r="A55" s="8">
        <v>52</v>
      </c>
      <c r="B55" s="49">
        <v>3349</v>
      </c>
      <c r="C55" s="10" t="str">
        <f>IFERROR(VLOOKUP(B55,'Runner List'!$B$3:$OT$505,5,FALSE),0)</f>
        <v>ANUCHIT BOONSIRI</v>
      </c>
      <c r="D55" s="8" t="str">
        <f>IFERROR(VLOOKUP(B55,'Runner List'!$B$3:$O$505,7,FALSE),0)</f>
        <v>Male</v>
      </c>
      <c r="E55" s="8" t="str">
        <f>IFERROR(VLOOKUP(B55,'Runner List'!$B$3:$O$505,8,FALSE),0)</f>
        <v>50-59</v>
      </c>
      <c r="F55" s="8" t="str">
        <f>IFERROR(VLOOKUP(B55,'Runner List'!$B$3:$O$505,9,FALSE),0)</f>
        <v>Thai</v>
      </c>
      <c r="G55" s="8" t="str">
        <f>IFERROR(VLOOKUP(B55,'Runner List'!$B$3:$O$505,10,FALSE),0)</f>
        <v>MKT33</v>
      </c>
      <c r="H55" s="52">
        <f t="shared" ca="1" si="0"/>
        <v>45550.22676863426</v>
      </c>
      <c r="I55" s="76">
        <f>IFERROR(VLOOKUP(B55,'Runner List'!$B$3:$O$505,12,FALSE),0)</f>
        <v>0.22916666666666666</v>
      </c>
    </row>
    <row r="56" spans="1:9" ht="36" customHeight="1">
      <c r="A56" s="8">
        <v>53</v>
      </c>
      <c r="B56" s="49">
        <v>3339</v>
      </c>
      <c r="C56" s="10" t="str">
        <f>IFERROR(VLOOKUP(B56,'Runner List'!$B$3:$OT$505,5,FALSE),0)</f>
        <v>SIREETORN ARUNRUKTHAVON</v>
      </c>
      <c r="D56" s="8" t="str">
        <f>IFERROR(VLOOKUP(B56,'Runner List'!$B$3:$O$505,7,FALSE),0)</f>
        <v>Female</v>
      </c>
      <c r="E56" s="8" t="str">
        <f>IFERROR(VLOOKUP(B56,'Runner List'!$B$3:$O$505,8,FALSE),0)</f>
        <v>20-39</v>
      </c>
      <c r="F56" s="8" t="str">
        <f>IFERROR(VLOOKUP(B56,'Runner List'!$B$3:$O$505,9,FALSE),0)</f>
        <v>Thai</v>
      </c>
      <c r="G56" s="8" t="str">
        <f>IFERROR(VLOOKUP(B56,'Runner List'!$B$3:$O$505,10,FALSE),0)</f>
        <v>MKT33</v>
      </c>
      <c r="H56" s="52">
        <f t="shared" ca="1" si="0"/>
        <v>45550.22680798611</v>
      </c>
      <c r="I56" s="76">
        <f>IFERROR(VLOOKUP(B56,'Runner List'!$B$3:$O$505,12,FALSE),0)</f>
        <v>0.22916666666666666</v>
      </c>
    </row>
    <row r="57" spans="1:9" ht="36" customHeight="1">
      <c r="A57" s="8">
        <v>54</v>
      </c>
      <c r="B57" s="49">
        <v>3353</v>
      </c>
      <c r="C57" s="10" t="str">
        <f>IFERROR(VLOOKUP(B57,'Runner List'!$B$3:$OT$505,5,FALSE),0)</f>
        <v>MANOO SUKTHANG</v>
      </c>
      <c r="D57" s="8" t="str">
        <f>IFERROR(VLOOKUP(B57,'Runner List'!$B$3:$O$505,7,FALSE),0)</f>
        <v>Male</v>
      </c>
      <c r="E57" s="8" t="str">
        <f>IFERROR(VLOOKUP(B57,'Runner List'!$B$3:$O$505,8,FALSE),0)</f>
        <v>40-49</v>
      </c>
      <c r="F57" s="8" t="str">
        <f>IFERROR(VLOOKUP(B57,'Runner List'!$B$3:$O$505,9,FALSE),0)</f>
        <v>Thai</v>
      </c>
      <c r="G57" s="8" t="str">
        <f>IFERROR(VLOOKUP(B57,'Runner List'!$B$3:$O$505,10,FALSE),0)</f>
        <v>MKT33</v>
      </c>
      <c r="H57" s="52">
        <f t="shared" ca="1" si="0"/>
        <v>45550.226841319447</v>
      </c>
      <c r="I57" s="76">
        <f>IFERROR(VLOOKUP(B57,'Runner List'!$B$3:$O$505,12,FALSE),0)</f>
        <v>0.22916666666666666</v>
      </c>
    </row>
    <row r="58" spans="1:9" ht="36" customHeight="1">
      <c r="A58" s="8">
        <v>55</v>
      </c>
      <c r="B58" s="49">
        <v>3330</v>
      </c>
      <c r="C58" s="10" t="str">
        <f>IFERROR(VLOOKUP(B58,'Runner List'!$B$3:$OT$505,5,FALSE),0)</f>
        <v>NUTTAWUT SUPANURAT</v>
      </c>
      <c r="D58" s="8" t="str">
        <f>IFERROR(VLOOKUP(B58,'Runner List'!$B$3:$O$505,7,FALSE),0)</f>
        <v>Male</v>
      </c>
      <c r="E58" s="8" t="str">
        <f>IFERROR(VLOOKUP(B58,'Runner List'!$B$3:$O$505,8,FALSE),0)</f>
        <v>40-49</v>
      </c>
      <c r="F58" s="8" t="str">
        <f>IFERROR(VLOOKUP(B58,'Runner List'!$B$3:$O$505,9,FALSE),0)</f>
        <v>Thai</v>
      </c>
      <c r="G58" s="8" t="str">
        <f>IFERROR(VLOOKUP(B58,'Runner List'!$B$3:$O$505,10,FALSE),0)</f>
        <v>MKT33</v>
      </c>
      <c r="H58" s="52">
        <f t="shared" ca="1" si="0"/>
        <v>45550.226876273147</v>
      </c>
      <c r="I58" s="76">
        <f>IFERROR(VLOOKUP(B58,'Runner List'!$B$3:$O$505,12,FALSE),0)</f>
        <v>0.22916666666666666</v>
      </c>
    </row>
    <row r="59" spans="1:9" ht="36" customHeight="1">
      <c r="A59" s="8">
        <v>56</v>
      </c>
      <c r="B59" s="49">
        <v>3388</v>
      </c>
      <c r="C59" s="10" t="str">
        <f>IFERROR(VLOOKUP(B59,'Runner List'!$B$3:$OT$505,5,FALSE),0)</f>
        <v>WORAWUT PHUENGPHOCHAROENPHAN</v>
      </c>
      <c r="D59" s="8" t="str">
        <f>IFERROR(VLOOKUP(B59,'Runner List'!$B$3:$O$505,7,FALSE),0)</f>
        <v>Male</v>
      </c>
      <c r="E59" s="8" t="str">
        <f>IFERROR(VLOOKUP(B59,'Runner List'!$B$3:$O$505,8,FALSE),0)</f>
        <v>40-49</v>
      </c>
      <c r="F59" s="8" t="str">
        <f>IFERROR(VLOOKUP(B59,'Runner List'!$B$3:$O$505,9,FALSE),0)</f>
        <v>Thai</v>
      </c>
      <c r="G59" s="8" t="str">
        <f>IFERROR(VLOOKUP(B59,'Runner List'!$B$3:$O$505,10,FALSE),0)</f>
        <v>MKT33</v>
      </c>
      <c r="H59" s="52">
        <f t="shared" ca="1" si="0"/>
        <v>45550.226909606485</v>
      </c>
      <c r="I59" s="76">
        <f>IFERROR(VLOOKUP(B59,'Runner List'!$B$3:$O$505,12,FALSE),0)</f>
        <v>0.22916666666666666</v>
      </c>
    </row>
    <row r="60" spans="1:9" ht="36" customHeight="1">
      <c r="A60" s="8">
        <v>57</v>
      </c>
      <c r="B60" s="49">
        <v>3365</v>
      </c>
      <c r="C60" s="10" t="str">
        <f>IFERROR(VLOOKUP(B60,'Runner List'!$B$3:$OT$505,5,FALSE),0)</f>
        <v>WILLIAM BJ SCHULTE</v>
      </c>
      <c r="D60" s="8" t="str">
        <f>IFERROR(VLOOKUP(B60,'Runner List'!$B$3:$O$505,7,FALSE),0)</f>
        <v>Male</v>
      </c>
      <c r="E60" s="8" t="str">
        <f>IFERROR(VLOOKUP(B60,'Runner List'!$B$3:$O$505,8,FALSE),0)</f>
        <v>40-49</v>
      </c>
      <c r="F60" s="8" t="str">
        <f>IFERROR(VLOOKUP(B60,'Runner List'!$B$3:$O$505,9,FALSE),0)</f>
        <v>USA</v>
      </c>
      <c r="G60" s="8" t="str">
        <f>IFERROR(VLOOKUP(B60,'Runner List'!$B$3:$O$505,10,FALSE),0)</f>
        <v>MKT33</v>
      </c>
      <c r="H60" s="52">
        <f t="shared" ca="1" si="0"/>
        <v>45550.226950810182</v>
      </c>
      <c r="I60" s="76">
        <f>IFERROR(VLOOKUP(B60,'Runner List'!$B$3:$O$505,12,FALSE),0)</f>
        <v>0.22916666666666666</v>
      </c>
    </row>
    <row r="61" spans="1:9" ht="36" customHeight="1">
      <c r="A61" s="8">
        <v>58</v>
      </c>
      <c r="B61" s="49">
        <v>3382</v>
      </c>
      <c r="C61" s="10" t="str">
        <f>IFERROR(VLOOKUP(B61,'Runner List'!$B$3:$OT$505,5,FALSE),0)</f>
        <v>KHATTIYA HOMTHONG</v>
      </c>
      <c r="D61" s="8" t="str">
        <f>IFERROR(VLOOKUP(B61,'Runner List'!$B$3:$O$505,7,FALSE),0)</f>
        <v>Female</v>
      </c>
      <c r="E61" s="8" t="str">
        <f>IFERROR(VLOOKUP(B61,'Runner List'!$B$3:$O$505,8,FALSE),0)</f>
        <v>20-39</v>
      </c>
      <c r="F61" s="8" t="str">
        <f>IFERROR(VLOOKUP(B61,'Runner List'!$B$3:$O$505,9,FALSE),0)</f>
        <v>Thai</v>
      </c>
      <c r="G61" s="8" t="str">
        <f>IFERROR(VLOOKUP(B61,'Runner List'!$B$3:$O$505,10,FALSE),0)</f>
        <v>MKT33</v>
      </c>
      <c r="H61" s="52">
        <f t="shared" ca="1" si="0"/>
        <v>45550.226983101849</v>
      </c>
      <c r="I61" s="76">
        <f>IFERROR(VLOOKUP(B61,'Runner List'!$B$3:$O$505,12,FALSE),0)</f>
        <v>0.22916666666666666</v>
      </c>
    </row>
    <row r="62" spans="1:9" ht="36" customHeight="1">
      <c r="A62" s="8">
        <v>59</v>
      </c>
      <c r="B62" s="49">
        <v>3351</v>
      </c>
      <c r="C62" s="10" t="str">
        <f>IFERROR(VLOOKUP(B62,'Runner List'!$B$3:$OT$505,5,FALSE),0)</f>
        <v>CHRISTIAN WENDELL</v>
      </c>
      <c r="D62" s="8" t="str">
        <f>IFERROR(VLOOKUP(B62,'Runner List'!$B$3:$O$505,7,FALSE),0)</f>
        <v>Male</v>
      </c>
      <c r="E62" s="8" t="str">
        <f>IFERROR(VLOOKUP(B62,'Runner List'!$B$3:$O$505,8,FALSE),0)</f>
        <v>40-49</v>
      </c>
      <c r="F62" s="8" t="str">
        <f>IFERROR(VLOOKUP(B62,'Runner List'!$B$3:$O$505,9,FALSE),0)</f>
        <v>Philippines</v>
      </c>
      <c r="G62" s="8" t="str">
        <f>IFERROR(VLOOKUP(B62,'Runner List'!$B$3:$O$505,10,FALSE),0)</f>
        <v>MKT33</v>
      </c>
      <c r="H62" s="52">
        <f t="shared" ca="1" si="0"/>
        <v>45550.227018287034</v>
      </c>
      <c r="I62" s="76">
        <f>IFERROR(VLOOKUP(B62,'Runner List'!$B$3:$O$505,12,FALSE),0)</f>
        <v>0.22916666666666666</v>
      </c>
    </row>
    <row r="63" spans="1:9" ht="36" customHeight="1">
      <c r="A63" s="8">
        <v>60</v>
      </c>
      <c r="B63" s="49">
        <v>3395</v>
      </c>
      <c r="C63" s="10" t="str">
        <f>IFERROR(VLOOKUP(B63,'Runner List'!$B$3:$OT$505,5,FALSE),0)</f>
        <v>BANCHAPOL DHIRANETRA</v>
      </c>
      <c r="D63" s="8" t="str">
        <f>IFERROR(VLOOKUP(B63,'Runner List'!$B$3:$O$505,7,FALSE),0)</f>
        <v>Male</v>
      </c>
      <c r="E63" s="8" t="str">
        <f>IFERROR(VLOOKUP(B63,'Runner List'!$B$3:$O$505,8,FALSE),0)</f>
        <v>50-59</v>
      </c>
      <c r="F63" s="8" t="str">
        <f>IFERROR(VLOOKUP(B63,'Runner List'!$B$3:$O$505,9,FALSE),0)</f>
        <v>Thai</v>
      </c>
      <c r="G63" s="8" t="str">
        <f>IFERROR(VLOOKUP(B63,'Runner List'!$B$3:$O$505,10,FALSE),0)</f>
        <v>MKT33</v>
      </c>
      <c r="H63" s="52">
        <f t="shared" ca="1" si="0"/>
        <v>45550.227071180554</v>
      </c>
      <c r="I63" s="76">
        <f>IFERROR(VLOOKUP(B63,'Runner List'!$B$3:$O$505,12,FALSE),0)</f>
        <v>0.22916666666666666</v>
      </c>
    </row>
    <row r="64" spans="1:9" ht="36" customHeight="1">
      <c r="A64" s="8">
        <v>61</v>
      </c>
      <c r="B64" s="49">
        <v>3364</v>
      </c>
      <c r="C64" s="10" t="str">
        <f>IFERROR(VLOOKUP(B64,'Runner List'!$B$3:$OT$505,5,FALSE),0)</f>
        <v>EMMANUEL ABADIE</v>
      </c>
      <c r="D64" s="8" t="str">
        <f>IFERROR(VLOOKUP(B64,'Runner List'!$B$3:$O$505,7,FALSE),0)</f>
        <v>Male</v>
      </c>
      <c r="E64" s="8" t="str">
        <f>IFERROR(VLOOKUP(B64,'Runner List'!$B$3:$O$505,8,FALSE),0)</f>
        <v>20-39</v>
      </c>
      <c r="F64" s="8" t="str">
        <f>IFERROR(VLOOKUP(B64,'Runner List'!$B$3:$O$505,9,FALSE),0)</f>
        <v>French</v>
      </c>
      <c r="G64" s="8" t="str">
        <f>IFERROR(VLOOKUP(B64,'Runner List'!$B$3:$O$505,10,FALSE),0)</f>
        <v>MKT33</v>
      </c>
      <c r="H64" s="52">
        <f t="shared" ca="1" si="0"/>
        <v>45550.227105324077</v>
      </c>
      <c r="I64" s="76">
        <f>IFERROR(VLOOKUP(B64,'Runner List'!$B$3:$O$505,12,FALSE),0)</f>
        <v>0.22916666666666666</v>
      </c>
    </row>
    <row r="65" spans="1:9" ht="36" customHeight="1">
      <c r="A65" s="8">
        <v>62</v>
      </c>
      <c r="B65" s="49">
        <v>3376</v>
      </c>
      <c r="C65" s="10" t="str">
        <f>IFERROR(VLOOKUP(B65,'Runner List'!$B$3:$OT$505,5,FALSE),0)</f>
        <v>THUNYALUK BOONPONG</v>
      </c>
      <c r="D65" s="8" t="str">
        <f>IFERROR(VLOOKUP(B65,'Runner List'!$B$3:$O$505,7,FALSE),0)</f>
        <v>Female</v>
      </c>
      <c r="E65" s="8" t="str">
        <f>IFERROR(VLOOKUP(B65,'Runner List'!$B$3:$O$505,8,FALSE),0)</f>
        <v>20-39</v>
      </c>
      <c r="F65" s="8" t="str">
        <f>IFERROR(VLOOKUP(B65,'Runner List'!$B$3:$O$505,9,FALSE),0)</f>
        <v>Thai</v>
      </c>
      <c r="G65" s="8" t="str">
        <f>IFERROR(VLOOKUP(B65,'Runner List'!$B$3:$O$505,10,FALSE),0)</f>
        <v>MKT33</v>
      </c>
      <c r="H65" s="52">
        <f t="shared" ca="1" si="0"/>
        <v>45550.227148958336</v>
      </c>
      <c r="I65" s="76">
        <f>IFERROR(VLOOKUP(B65,'Runner List'!$B$3:$O$505,12,FALSE),0)</f>
        <v>0.22916666666666666</v>
      </c>
    </row>
    <row r="66" spans="1:9" ht="36" customHeight="1">
      <c r="A66" s="8">
        <v>63</v>
      </c>
      <c r="B66" s="49">
        <v>3397</v>
      </c>
      <c r="C66" s="10" t="str">
        <f>IFERROR(VLOOKUP(B66,'Runner List'!$B$3:$OT$505,5,FALSE),0)</f>
        <v>VINCENT ARQUE</v>
      </c>
      <c r="D66" s="8" t="str">
        <f>IFERROR(VLOOKUP(B66,'Runner List'!$B$3:$O$505,7,FALSE),0)</f>
        <v>Male</v>
      </c>
      <c r="E66" s="8" t="str">
        <f>IFERROR(VLOOKUP(B66,'Runner List'!$B$3:$O$505,8,FALSE),0)</f>
        <v>20-39</v>
      </c>
      <c r="F66" s="8" t="str">
        <f>IFERROR(VLOOKUP(B66,'Runner List'!$B$3:$O$505,9,FALSE),0)</f>
        <v>Thai</v>
      </c>
      <c r="G66" s="8" t="str">
        <f>IFERROR(VLOOKUP(B66,'Runner List'!$B$3:$O$505,10,FALSE),0)</f>
        <v>MKT33</v>
      </c>
      <c r="H66" s="52">
        <f t="shared" ca="1" si="0"/>
        <v>45550.22717662037</v>
      </c>
      <c r="I66" s="76">
        <f>IFERROR(VLOOKUP(B66,'Runner List'!$B$3:$O$505,12,FALSE),0)</f>
        <v>0.22916666666666666</v>
      </c>
    </row>
    <row r="67" spans="1:9" ht="36" customHeight="1">
      <c r="A67" s="8">
        <v>64</v>
      </c>
      <c r="B67" s="49">
        <v>3355</v>
      </c>
      <c r="C67" s="10" t="str">
        <f>IFERROR(VLOOKUP(B67,'Runner List'!$B$3:$OT$505,5,FALSE),0)</f>
        <v>TORPONG MANSUMRUATKAN</v>
      </c>
      <c r="D67" s="8" t="str">
        <f>IFERROR(VLOOKUP(B67,'Runner List'!$B$3:$O$505,7,FALSE),0)</f>
        <v>Male</v>
      </c>
      <c r="E67" s="8" t="str">
        <f>IFERROR(VLOOKUP(B67,'Runner List'!$B$3:$O$505,8,FALSE),0)</f>
        <v>20-39</v>
      </c>
      <c r="F67" s="8" t="str">
        <f>IFERROR(VLOOKUP(B67,'Runner List'!$B$3:$O$505,9,FALSE),0)</f>
        <v>Thai</v>
      </c>
      <c r="G67" s="8" t="str">
        <f>IFERROR(VLOOKUP(B67,'Runner List'!$B$3:$O$505,10,FALSE),0)</f>
        <v>MKT33</v>
      </c>
      <c r="H67" s="52">
        <f t="shared" ca="1" si="0"/>
        <v>45550.227204976851</v>
      </c>
      <c r="I67" s="76">
        <f>IFERROR(VLOOKUP(B67,'Runner List'!$B$3:$O$505,12,FALSE),0)</f>
        <v>0.22916666666666666</v>
      </c>
    </row>
    <row r="68" spans="1:9" ht="36" customHeight="1">
      <c r="A68" s="8">
        <v>65</v>
      </c>
      <c r="B68" s="49">
        <v>3369</v>
      </c>
      <c r="C68" s="10" t="str">
        <f>IFERROR(VLOOKUP(B68,'Runner List'!$B$3:$OT$505,5,FALSE),0)</f>
        <v>SURASAK CHUNTAPA</v>
      </c>
      <c r="D68" s="8" t="str">
        <f>IFERROR(VLOOKUP(B68,'Runner List'!$B$3:$O$505,7,FALSE),0)</f>
        <v>Male</v>
      </c>
      <c r="E68" s="8" t="str">
        <f>IFERROR(VLOOKUP(B68,'Runner List'!$B$3:$O$505,8,FALSE),0)</f>
        <v>20-39</v>
      </c>
      <c r="F68" s="8" t="str">
        <f>IFERROR(VLOOKUP(B68,'Runner List'!$B$3:$O$505,9,FALSE),0)</f>
        <v>Thai</v>
      </c>
      <c r="G68" s="8" t="str">
        <f>IFERROR(VLOOKUP(B68,'Runner List'!$B$3:$O$505,10,FALSE),0)</f>
        <v>MKT33</v>
      </c>
      <c r="H68" s="52">
        <f t="shared" ca="1" si="0"/>
        <v>45550.227234375001</v>
      </c>
      <c r="I68" s="76">
        <f>IFERROR(VLOOKUP(B68,'Runner List'!$B$3:$O$505,12,FALSE),0)</f>
        <v>0.22916666666666666</v>
      </c>
    </row>
    <row r="69" spans="1:9" ht="36" customHeight="1">
      <c r="A69" s="8">
        <v>66</v>
      </c>
      <c r="B69" s="49">
        <v>3389</v>
      </c>
      <c r="C69" s="10" t="str">
        <f>IFERROR(VLOOKUP(B69,'Runner List'!$B$3:$OT$505,5,FALSE),0)</f>
        <v>PANUPONG THAWAI</v>
      </c>
      <c r="D69" s="8" t="str">
        <f>IFERROR(VLOOKUP(B69,'Runner List'!$B$3:$O$505,7,FALSE),0)</f>
        <v>Male</v>
      </c>
      <c r="E69" s="8" t="str">
        <f>IFERROR(VLOOKUP(B69,'Runner List'!$B$3:$O$505,8,FALSE),0)</f>
        <v>20-39</v>
      </c>
      <c r="F69" s="8" t="str">
        <f>IFERROR(VLOOKUP(B69,'Runner List'!$B$3:$O$505,9,FALSE),0)</f>
        <v>Thai</v>
      </c>
      <c r="G69" s="8" t="str">
        <f>IFERROR(VLOOKUP(B69,'Runner List'!$B$3:$O$505,10,FALSE),0)</f>
        <v>MKT33</v>
      </c>
      <c r="H69" s="52">
        <f t="shared" ref="H69:H132" ca="1" si="2">IF(B69="","",IF(H69="",NOW(),H69))</f>
        <v>45550.227269212963</v>
      </c>
      <c r="I69" s="76">
        <f>IFERROR(VLOOKUP(B69,'Runner List'!$B$3:$O$505,12,FALSE),0)</f>
        <v>0.22916666666666666</v>
      </c>
    </row>
    <row r="70" spans="1:9" ht="36" customHeight="1">
      <c r="A70" s="8">
        <v>67</v>
      </c>
      <c r="B70" s="49">
        <v>3338</v>
      </c>
      <c r="C70" s="10" t="str">
        <f>IFERROR(VLOOKUP(B70,'Runner List'!$B$3:$OT$505,5,FALSE),0)</f>
        <v>PANUWAT BUAYOY</v>
      </c>
      <c r="D70" s="8" t="str">
        <f>IFERROR(VLOOKUP(B70,'Runner List'!$B$3:$O$505,7,FALSE),0)</f>
        <v>Male</v>
      </c>
      <c r="E70" s="8" t="str">
        <f>IFERROR(VLOOKUP(B70,'Runner List'!$B$3:$O$505,8,FALSE),0)</f>
        <v>20-39</v>
      </c>
      <c r="F70" s="8" t="str">
        <f>IFERROR(VLOOKUP(B70,'Runner List'!$B$3:$O$505,9,FALSE),0)</f>
        <v>Thai</v>
      </c>
      <c r="G70" s="8" t="str">
        <f>IFERROR(VLOOKUP(B70,'Runner List'!$B$3:$O$505,10,FALSE),0)</f>
        <v>MKT33</v>
      </c>
      <c r="H70" s="52">
        <f t="shared" ca="1" si="2"/>
        <v>45550.227304976848</v>
      </c>
      <c r="I70" s="76">
        <f>IFERROR(VLOOKUP(B70,'Runner List'!$B$3:$O$505,12,FALSE),0)</f>
        <v>0.22916666666666666</v>
      </c>
    </row>
    <row r="71" spans="1:9" ht="36" customHeight="1">
      <c r="A71" s="8">
        <v>68</v>
      </c>
      <c r="B71" s="49">
        <v>3352</v>
      </c>
      <c r="C71" s="10" t="str">
        <f>IFERROR(VLOOKUP(B71,'Runner List'!$B$3:$OT$505,5,FALSE),0)</f>
        <v>NISA KHAMWONGSA</v>
      </c>
      <c r="D71" s="8" t="str">
        <f>IFERROR(VLOOKUP(B71,'Runner List'!$B$3:$O$505,7,FALSE),0)</f>
        <v>Female</v>
      </c>
      <c r="E71" s="8" t="str">
        <f>IFERROR(VLOOKUP(B71,'Runner List'!$B$3:$O$505,8,FALSE),0)</f>
        <v>50-59</v>
      </c>
      <c r="F71" s="8" t="str">
        <f>IFERROR(VLOOKUP(B71,'Runner List'!$B$3:$O$505,9,FALSE),0)</f>
        <v>Thai</v>
      </c>
      <c r="G71" s="8" t="str">
        <f>IFERROR(VLOOKUP(B71,'Runner List'!$B$3:$O$505,10,FALSE),0)</f>
        <v>MKT33</v>
      </c>
      <c r="H71" s="52">
        <f t="shared" ca="1" si="2"/>
        <v>45550.227348032407</v>
      </c>
      <c r="I71" s="76">
        <f>IFERROR(VLOOKUP(B71,'Runner List'!$B$3:$O$505,12,FALSE),0)</f>
        <v>0.22916666666666666</v>
      </c>
    </row>
    <row r="72" spans="1:9" ht="36" customHeight="1">
      <c r="A72" s="8">
        <v>69</v>
      </c>
      <c r="B72" s="49">
        <v>3383</v>
      </c>
      <c r="C72" s="10" t="str">
        <f>IFERROR(VLOOKUP(B72,'Runner List'!$B$3:$OT$505,5,FALSE),0)</f>
        <v>SARAVUT CHAIBOONRUANG</v>
      </c>
      <c r="D72" s="8" t="str">
        <f>IFERROR(VLOOKUP(B72,'Runner List'!$B$3:$O$505,7,FALSE),0)</f>
        <v>Male</v>
      </c>
      <c r="E72" s="8" t="str">
        <f>IFERROR(VLOOKUP(B72,'Runner List'!$B$3:$O$505,8,FALSE),0)</f>
        <v>40-49</v>
      </c>
      <c r="F72" s="8" t="str">
        <f>IFERROR(VLOOKUP(B72,'Runner List'!$B$3:$O$505,9,FALSE),0)</f>
        <v>Thai</v>
      </c>
      <c r="G72" s="8" t="str">
        <f>IFERROR(VLOOKUP(B72,'Runner List'!$B$3:$O$505,10,FALSE),0)</f>
        <v>MKT33</v>
      </c>
      <c r="H72" s="52">
        <f t="shared" ca="1" si="2"/>
        <v>45550.22741446759</v>
      </c>
      <c r="I72" s="76">
        <f>IFERROR(VLOOKUP(B72,'Runner List'!$B$3:$O$505,12,FALSE),0)</f>
        <v>0.22916666666666666</v>
      </c>
    </row>
    <row r="73" spans="1:9" ht="36" customHeight="1">
      <c r="A73" s="8">
        <v>70</v>
      </c>
      <c r="B73" s="49">
        <v>3344</v>
      </c>
      <c r="C73" s="10" t="str">
        <f>IFERROR(VLOOKUP(B73,'Runner List'!$B$3:$OT$505,5,FALSE),0)</f>
        <v>THANAKORN NERAWAN</v>
      </c>
      <c r="D73" s="8" t="str">
        <f>IFERROR(VLOOKUP(B73,'Runner List'!$B$3:$O$505,7,FALSE),0)</f>
        <v>Male</v>
      </c>
      <c r="E73" s="8" t="str">
        <f>IFERROR(VLOOKUP(B73,'Runner List'!$B$3:$O$505,8,FALSE),0)</f>
        <v>20-39</v>
      </c>
      <c r="F73" s="8" t="str">
        <f>IFERROR(VLOOKUP(B73,'Runner List'!$B$3:$O$505,9,FALSE),0)</f>
        <v>Thai</v>
      </c>
      <c r="G73" s="8" t="str">
        <f>IFERROR(VLOOKUP(B73,'Runner List'!$B$3:$O$505,10,FALSE),0)</f>
        <v>MKT33</v>
      </c>
      <c r="H73" s="52">
        <f t="shared" ca="1" si="2"/>
        <v>45550.227445717595</v>
      </c>
      <c r="I73" s="76">
        <f>IFERROR(VLOOKUP(B73,'Runner List'!$B$3:$O$505,12,FALSE),0)</f>
        <v>0.22916666666666666</v>
      </c>
    </row>
    <row r="74" spans="1:9" ht="36.6" customHeight="1">
      <c r="A74" s="8">
        <v>71</v>
      </c>
      <c r="B74" s="49">
        <v>3363</v>
      </c>
      <c r="C74" s="10" t="str">
        <f>IFERROR(VLOOKUP(B74,'Runner List'!$B$3:$OT$505,5,FALSE),0)</f>
        <v>KAMOL SUKWANG</v>
      </c>
      <c r="D74" s="8" t="str">
        <f>IFERROR(VLOOKUP(B74,'Runner List'!$B$3:$O$505,7,FALSE),0)</f>
        <v>Male</v>
      </c>
      <c r="E74" s="8" t="str">
        <f>IFERROR(VLOOKUP(B74,'Runner List'!$B$3:$O$505,8,FALSE),0)</f>
        <v>40-49</v>
      </c>
      <c r="F74" s="8" t="str">
        <f>IFERROR(VLOOKUP(B74,'Runner List'!$B$3:$O$505,9,FALSE),0)</f>
        <v>Thai</v>
      </c>
      <c r="G74" s="8" t="str">
        <f>IFERROR(VLOOKUP(B74,'Runner List'!$B$3:$O$505,10,FALSE),0)</f>
        <v>MKT33</v>
      </c>
      <c r="H74" s="52">
        <f t="shared" ca="1" si="2"/>
        <v>45550.227505439812</v>
      </c>
      <c r="I74" s="76">
        <f>IFERROR(VLOOKUP(B74,'Runner List'!$B$3:$O$505,12,FALSE),0)</f>
        <v>0.22916666666666666</v>
      </c>
    </row>
    <row r="75" spans="1:9" ht="36.6" customHeight="1">
      <c r="A75" s="8">
        <v>72</v>
      </c>
      <c r="B75" s="49">
        <v>3334</v>
      </c>
      <c r="C75" s="10" t="str">
        <f>IFERROR(VLOOKUP(B75,'Runner List'!$B$3:$OT$505,5,FALSE),0)</f>
        <v>KAMONRUT THONGRAK</v>
      </c>
      <c r="D75" s="8" t="str">
        <f>IFERROR(VLOOKUP(B75,'Runner List'!$B$3:$O$505,7,FALSE),0)</f>
        <v>Female</v>
      </c>
      <c r="E75" s="8" t="str">
        <f>IFERROR(VLOOKUP(B75,'Runner List'!$B$3:$O$505,8,FALSE),0)</f>
        <v>20-39</v>
      </c>
      <c r="F75" s="8" t="str">
        <f>IFERROR(VLOOKUP(B75,'Runner List'!$B$3:$O$505,9,FALSE),0)</f>
        <v>Thai</v>
      </c>
      <c r="G75" s="8" t="str">
        <f>IFERROR(VLOOKUP(B75,'Runner List'!$B$3:$O$505,10,FALSE),0)</f>
        <v>MKT33</v>
      </c>
      <c r="H75" s="52">
        <f t="shared" ca="1" si="2"/>
        <v>45550.227538541665</v>
      </c>
      <c r="I75" s="76">
        <f>IFERROR(VLOOKUP(B75,'Runner List'!$B$3:$O$505,12,FALSE),0)</f>
        <v>0.22916666666666666</v>
      </c>
    </row>
    <row r="76" spans="1:9" ht="36.6" customHeight="1">
      <c r="A76" s="8">
        <v>73</v>
      </c>
      <c r="B76" s="49">
        <v>3322</v>
      </c>
      <c r="C76" s="10" t="str">
        <f>IFERROR(VLOOKUP(B76,'Runner List'!$B$3:$OT$505,5,FALSE),0)</f>
        <v>TEERAPONG TUMMAPAN</v>
      </c>
      <c r="D76" s="8" t="str">
        <f>IFERROR(VLOOKUP(B76,'Runner List'!$B$3:$O$505,7,FALSE),0)</f>
        <v>Male</v>
      </c>
      <c r="E76" s="8" t="str">
        <f>IFERROR(VLOOKUP(B76,'Runner List'!$B$3:$O$505,8,FALSE),0)</f>
        <v>20-39</v>
      </c>
      <c r="F76" s="8" t="str">
        <f>IFERROR(VLOOKUP(B76,'Runner List'!$B$3:$O$505,9,FALSE),0)</f>
        <v>Thai</v>
      </c>
      <c r="G76" s="8" t="str">
        <f>IFERROR(VLOOKUP(B76,'Runner List'!$B$3:$O$505,10,FALSE),0)</f>
        <v>MKT33</v>
      </c>
      <c r="H76" s="52">
        <f t="shared" ca="1" si="2"/>
        <v>45550.227571759257</v>
      </c>
      <c r="I76" s="76">
        <f>IFERROR(VLOOKUP(B76,'Runner List'!$B$3:$O$505,12,FALSE),0)</f>
        <v>0.22916666666666666</v>
      </c>
    </row>
    <row r="77" spans="1:9" ht="36.6" customHeight="1">
      <c r="A77" s="8">
        <v>74</v>
      </c>
      <c r="B77" s="49">
        <v>3316</v>
      </c>
      <c r="C77" s="10" t="str">
        <f>IFERROR(VLOOKUP(B77,'Runner List'!$B$3:$OT$505,5,FALSE),0)</f>
        <v>NIPON PATCHARASATID</v>
      </c>
      <c r="D77" s="8" t="str">
        <f>IFERROR(VLOOKUP(B77,'Runner List'!$B$3:$O$505,7,FALSE),0)</f>
        <v>Male</v>
      </c>
      <c r="E77" s="8" t="str">
        <f>IFERROR(VLOOKUP(B77,'Runner List'!$B$3:$O$505,8,FALSE),0)</f>
        <v>40-49</v>
      </c>
      <c r="F77" s="8" t="str">
        <f>IFERROR(VLOOKUP(B77,'Runner List'!$B$3:$O$505,9,FALSE),0)</f>
        <v>Thai</v>
      </c>
      <c r="G77" s="8" t="str">
        <f>IFERROR(VLOOKUP(B77,'Runner List'!$B$3:$O$505,10,FALSE),0)</f>
        <v>MKT33</v>
      </c>
      <c r="H77" s="52">
        <f t="shared" ca="1" si="2"/>
        <v>45550.227610069443</v>
      </c>
      <c r="I77" s="76">
        <f>IFERROR(VLOOKUP(B77,'Runner List'!$B$3:$O$505,12,FALSE),0)</f>
        <v>0.22916666666666666</v>
      </c>
    </row>
    <row r="78" spans="1:9" ht="36.6" customHeight="1">
      <c r="A78" s="8">
        <v>75</v>
      </c>
      <c r="B78" s="49">
        <v>3362</v>
      </c>
      <c r="C78" s="10" t="str">
        <f>IFERROR(VLOOKUP(B78,'Runner List'!$B$3:$OT$505,5,FALSE),0)</f>
        <v>ATHIPPAKORN LNJINDA</v>
      </c>
      <c r="D78" s="8" t="str">
        <f>IFERROR(VLOOKUP(B78,'Runner List'!$B$3:$O$505,7,FALSE),0)</f>
        <v>Male</v>
      </c>
      <c r="E78" s="8" t="str">
        <f>IFERROR(VLOOKUP(B78,'Runner List'!$B$3:$O$505,8,FALSE),0)</f>
        <v>20-39</v>
      </c>
      <c r="F78" s="8" t="str">
        <f>IFERROR(VLOOKUP(B78,'Runner List'!$B$3:$O$505,9,FALSE),0)</f>
        <v>Thai</v>
      </c>
      <c r="G78" s="8" t="str">
        <f>IFERROR(VLOOKUP(B78,'Runner List'!$B$3:$O$505,10,FALSE),0)</f>
        <v>MKT33</v>
      </c>
      <c r="H78" s="52">
        <f t="shared" ca="1" si="2"/>
        <v>45550.227646180552</v>
      </c>
      <c r="I78" s="76">
        <f>IFERROR(VLOOKUP(B78,'Runner List'!$B$3:$O$505,12,FALSE),0)</f>
        <v>0.22916666666666666</v>
      </c>
    </row>
    <row r="79" spans="1:9" ht="36.6" customHeight="1">
      <c r="A79" s="8">
        <v>76</v>
      </c>
      <c r="B79" s="49">
        <v>3317</v>
      </c>
      <c r="C79" s="10" t="str">
        <f>IFERROR(VLOOKUP(B79,'Runner List'!$B$3:$OT$505,5,FALSE),0)</f>
        <v>PRAYAT JIT-AREE</v>
      </c>
      <c r="D79" s="8" t="str">
        <f>IFERROR(VLOOKUP(B79,'Runner List'!$B$3:$O$505,7,FALSE),0)</f>
        <v>Male</v>
      </c>
      <c r="E79" s="8" t="str">
        <f>IFERROR(VLOOKUP(B79,'Runner List'!$B$3:$O$505,8,FALSE),0)</f>
        <v>50-59</v>
      </c>
      <c r="F79" s="8" t="str">
        <f>IFERROR(VLOOKUP(B79,'Runner List'!$B$3:$O$505,9,FALSE),0)</f>
        <v>Thai</v>
      </c>
      <c r="G79" s="8" t="str">
        <f>IFERROR(VLOOKUP(B79,'Runner List'!$B$3:$O$505,10,FALSE),0)</f>
        <v>MKT33</v>
      </c>
      <c r="H79" s="52">
        <f t="shared" ca="1" si="2"/>
        <v>45550.227682060184</v>
      </c>
      <c r="I79" s="76">
        <f>IFERROR(VLOOKUP(B79,'Runner List'!$B$3:$O$505,12,FALSE),0)</f>
        <v>0.22916666666666666</v>
      </c>
    </row>
    <row r="80" spans="1:9" ht="36.6" customHeight="1">
      <c r="A80" s="8">
        <v>77</v>
      </c>
      <c r="B80" s="49">
        <v>3329</v>
      </c>
      <c r="C80" s="10" t="str">
        <f>IFERROR(VLOOKUP(B80,'Runner List'!$B$3:$OT$505,5,FALSE),0)</f>
        <v>SETTHA PHAIKHAMNAM</v>
      </c>
      <c r="D80" s="8" t="str">
        <f>IFERROR(VLOOKUP(B80,'Runner List'!$B$3:$O$505,7,FALSE),0)</f>
        <v>Male</v>
      </c>
      <c r="E80" s="8" t="str">
        <f>IFERROR(VLOOKUP(B80,'Runner List'!$B$3:$O$505,8,FALSE),0)</f>
        <v>40-49</v>
      </c>
      <c r="F80" s="8" t="str">
        <f>IFERROR(VLOOKUP(B80,'Runner List'!$B$3:$O$505,9,FALSE),0)</f>
        <v>Thai</v>
      </c>
      <c r="G80" s="8" t="str">
        <f>IFERROR(VLOOKUP(B80,'Runner List'!$B$3:$O$505,10,FALSE),0)</f>
        <v>MKT33</v>
      </c>
      <c r="H80" s="52">
        <f t="shared" ca="1" si="2"/>
        <v>45550.227713773151</v>
      </c>
      <c r="I80" s="76">
        <f>IFERROR(VLOOKUP(B80,'Runner List'!$B$3:$O$505,12,FALSE),0)</f>
        <v>0.22916666666666666</v>
      </c>
    </row>
    <row r="81" spans="1:9" ht="36.6" customHeight="1">
      <c r="A81" s="8">
        <v>78</v>
      </c>
      <c r="B81" s="49">
        <v>3380</v>
      </c>
      <c r="C81" s="10" t="str">
        <f>IFERROR(VLOOKUP(B81,'Runner List'!$B$3:$OT$505,5,FALSE),0)</f>
        <v>AIYADA KULTAKHAM</v>
      </c>
      <c r="D81" s="8" t="str">
        <f>IFERROR(VLOOKUP(B81,'Runner List'!$B$3:$O$505,7,FALSE),0)</f>
        <v>Female</v>
      </c>
      <c r="E81" s="8" t="str">
        <f>IFERROR(VLOOKUP(B81,'Runner List'!$B$3:$O$505,8,FALSE),0)</f>
        <v>40-49</v>
      </c>
      <c r="F81" s="8" t="str">
        <f>IFERROR(VLOOKUP(B81,'Runner List'!$B$3:$O$505,9,FALSE),0)</f>
        <v>Thai</v>
      </c>
      <c r="G81" s="8" t="str">
        <f>IFERROR(VLOOKUP(B81,'Runner List'!$B$3:$O$505,10,FALSE),0)</f>
        <v>MKT33</v>
      </c>
      <c r="H81" s="52">
        <f t="shared" ca="1" si="2"/>
        <v>45550.227752314815</v>
      </c>
      <c r="I81" s="76">
        <f>IFERROR(VLOOKUP(B81,'Runner List'!$B$3:$O$505,12,FALSE),0)</f>
        <v>0.22916666666666666</v>
      </c>
    </row>
    <row r="82" spans="1:9" ht="36.6" customHeight="1">
      <c r="A82" s="8">
        <v>79</v>
      </c>
      <c r="B82" s="49">
        <v>3315</v>
      </c>
      <c r="C82" s="10" t="str">
        <f>IFERROR(VLOOKUP(B82,'Runner List'!$B$3:$OT$505,5,FALSE),0)</f>
        <v>SUCHAT PLEESUDJAI</v>
      </c>
      <c r="D82" s="8" t="str">
        <f>IFERROR(VLOOKUP(B82,'Runner List'!$B$3:$O$505,7,FALSE),0)</f>
        <v>Male</v>
      </c>
      <c r="E82" s="8" t="str">
        <f>IFERROR(VLOOKUP(B82,'Runner List'!$B$3:$O$505,8,FALSE),0)</f>
        <v>50-59</v>
      </c>
      <c r="F82" s="8" t="str">
        <f>IFERROR(VLOOKUP(B82,'Runner List'!$B$3:$O$505,9,FALSE),0)</f>
        <v>Thai</v>
      </c>
      <c r="G82" s="8" t="str">
        <f>IFERROR(VLOOKUP(B82,'Runner List'!$B$3:$O$505,10,FALSE),0)</f>
        <v>MKT33</v>
      </c>
      <c r="H82" s="52">
        <f t="shared" ca="1" si="2"/>
        <v>45550.227791203703</v>
      </c>
      <c r="I82" s="76">
        <f>IFERROR(VLOOKUP(B82,'Runner List'!$B$3:$O$505,12,FALSE),0)</f>
        <v>0.22916666666666666</v>
      </c>
    </row>
    <row r="83" spans="1:9" ht="36.6" customHeight="1">
      <c r="A83" s="8">
        <v>80</v>
      </c>
      <c r="B83" s="49">
        <v>3393</v>
      </c>
      <c r="C83" s="10" t="str">
        <f>IFERROR(VLOOKUP(B83,'Runner List'!$B$3:$OT$505,5,FALSE),0)</f>
        <v>CHANKKAPHUN PUNTA</v>
      </c>
      <c r="D83" s="8" t="str">
        <f>IFERROR(VLOOKUP(B83,'Runner List'!$B$3:$O$505,7,FALSE),0)</f>
        <v>Male</v>
      </c>
      <c r="E83" s="8" t="str">
        <f>IFERROR(VLOOKUP(B83,'Runner List'!$B$3:$O$505,8,FALSE),0)</f>
        <v>40-49</v>
      </c>
      <c r="F83" s="8" t="str">
        <f>IFERROR(VLOOKUP(B83,'Runner List'!$B$3:$O$505,9,FALSE),0)</f>
        <v>Thai</v>
      </c>
      <c r="G83" s="8" t="str">
        <f>IFERROR(VLOOKUP(B83,'Runner List'!$B$3:$O$505,10,FALSE),0)</f>
        <v>MKT33</v>
      </c>
      <c r="H83" s="52">
        <f t="shared" ca="1" si="2"/>
        <v>45550.227821875</v>
      </c>
      <c r="I83" s="76">
        <f>IFERROR(VLOOKUP(B83,'Runner List'!$B$3:$O$505,12,FALSE),0)</f>
        <v>0.22916666666666666</v>
      </c>
    </row>
    <row r="84" spans="1:9" ht="36.6" customHeight="1">
      <c r="A84" s="8">
        <v>81</v>
      </c>
      <c r="B84" s="49">
        <v>3372</v>
      </c>
      <c r="C84" s="10" t="str">
        <f>IFERROR(VLOOKUP(B84,'Runner List'!$B$3:$OT$505,5,FALSE),0)</f>
        <v>RATSAMEE DAWJBON</v>
      </c>
      <c r="D84" s="8" t="str">
        <f>IFERROR(VLOOKUP(B84,'Runner List'!$B$3:$O$505,7,FALSE),0)</f>
        <v>Female</v>
      </c>
      <c r="E84" s="8" t="str">
        <f>IFERROR(VLOOKUP(B84,'Runner List'!$B$3:$O$505,8,FALSE),0)</f>
        <v>40-49</v>
      </c>
      <c r="F84" s="8" t="str">
        <f>IFERROR(VLOOKUP(B84,'Runner List'!$B$3:$O$505,9,FALSE),0)</f>
        <v>Thai</v>
      </c>
      <c r="G84" s="8" t="str">
        <f>IFERROR(VLOOKUP(B84,'Runner List'!$B$3:$O$505,10,FALSE),0)</f>
        <v>MKT33</v>
      </c>
      <c r="H84" s="52">
        <f t="shared" ca="1" si="2"/>
        <v>45550.227859722225</v>
      </c>
      <c r="I84" s="76">
        <f>IFERROR(VLOOKUP(B84,'Runner List'!$B$3:$O$505,12,FALSE),0)</f>
        <v>0.22916666666666666</v>
      </c>
    </row>
    <row r="85" spans="1:9" ht="36.6" customHeight="1">
      <c r="A85" s="8">
        <v>82</v>
      </c>
      <c r="B85" s="49">
        <v>3381</v>
      </c>
      <c r="C85" s="10" t="str">
        <f>IFERROR(VLOOKUP(B85,'Runner List'!$B$3:$OT$505,5,FALSE),0)</f>
        <v>JANTARABOON KIANGCHAIPAIPHANA</v>
      </c>
      <c r="D85" s="8" t="str">
        <f>IFERROR(VLOOKUP(B85,'Runner List'!$B$3:$O$505,7,FALSE),0)</f>
        <v>Male</v>
      </c>
      <c r="E85" s="8" t="str">
        <f>IFERROR(VLOOKUP(B85,'Runner List'!$B$3:$O$505,8,FALSE),0)</f>
        <v>20-39</v>
      </c>
      <c r="F85" s="8" t="str">
        <f>IFERROR(VLOOKUP(B85,'Runner List'!$B$3:$O$505,9,FALSE),0)</f>
        <v>Thai</v>
      </c>
      <c r="G85" s="8" t="str">
        <f>IFERROR(VLOOKUP(B85,'Runner List'!$B$3:$O$505,10,FALSE),0)</f>
        <v>MKT33</v>
      </c>
      <c r="H85" s="52">
        <f t="shared" ca="1" si="2"/>
        <v>45550.227961226854</v>
      </c>
      <c r="I85" s="76">
        <f>IFERROR(VLOOKUP(B85,'Runner List'!$B$3:$O$505,12,FALSE),0)</f>
        <v>0.22916666666666666</v>
      </c>
    </row>
    <row r="86" spans="1:9" ht="36.6" customHeight="1">
      <c r="A86" s="8">
        <v>83</v>
      </c>
      <c r="B86" s="49">
        <v>3394</v>
      </c>
      <c r="C86" s="10" t="str">
        <f>IFERROR(VLOOKUP(B86,'Runner List'!$B$3:$OT$505,5,FALSE),0)</f>
        <v>CHOTIPHAT SRITANAWARAKIT</v>
      </c>
      <c r="D86" s="8" t="str">
        <f>IFERROR(VLOOKUP(B86,'Runner List'!$B$3:$O$505,7,FALSE),0)</f>
        <v>Male</v>
      </c>
      <c r="E86" s="8" t="str">
        <f>IFERROR(VLOOKUP(B86,'Runner List'!$B$3:$O$505,8,FALSE),0)</f>
        <v>20-39</v>
      </c>
      <c r="F86" s="8" t="str">
        <f>IFERROR(VLOOKUP(B86,'Runner List'!$B$3:$O$505,9,FALSE),0)</f>
        <v>Thai</v>
      </c>
      <c r="G86" s="8" t="str">
        <f>IFERROR(VLOOKUP(B86,'Runner List'!$B$3:$O$505,10,FALSE),0)</f>
        <v>MKT33</v>
      </c>
      <c r="H86" s="52">
        <f t="shared" ca="1" si="2"/>
        <v>45550.227985300924</v>
      </c>
      <c r="I86" s="76">
        <f>IFERROR(VLOOKUP(B86,'Runner List'!$B$3:$O$505,12,FALSE),0)</f>
        <v>0.22916666666666666</v>
      </c>
    </row>
    <row r="87" spans="1:9" ht="36.6" customHeight="1">
      <c r="A87" s="8">
        <v>84</v>
      </c>
      <c r="B87" s="49">
        <v>3396</v>
      </c>
      <c r="C87" s="10" t="str">
        <f>IFERROR(VLOOKUP(B87,'Runner List'!$B$3:$OT$505,5,FALSE),0)</f>
        <v>PHATCHARIDA THAEPTHONG</v>
      </c>
      <c r="D87" s="8" t="str">
        <f>IFERROR(VLOOKUP(B87,'Runner List'!$B$3:$O$505,7,FALSE),0)</f>
        <v>Female</v>
      </c>
      <c r="E87" s="8" t="str">
        <f>IFERROR(VLOOKUP(B87,'Runner List'!$B$3:$O$505,8,FALSE),0)</f>
        <v>20-39</v>
      </c>
      <c r="F87" s="8" t="str">
        <f>IFERROR(VLOOKUP(B87,'Runner List'!$B$3:$O$505,9,FALSE),0)</f>
        <v>Thai</v>
      </c>
      <c r="G87" s="8" t="str">
        <f>IFERROR(VLOOKUP(B87,'Runner List'!$B$3:$O$505,10,FALSE),0)</f>
        <v>MKT33</v>
      </c>
      <c r="H87" s="52">
        <f t="shared" ca="1" si="2"/>
        <v>45550.228030208331</v>
      </c>
      <c r="I87" s="76">
        <f>IFERROR(VLOOKUP(B87,'Runner List'!$B$3:$O$505,12,FALSE),0)</f>
        <v>0.22916666666666666</v>
      </c>
    </row>
    <row r="88" spans="1:9" ht="36.6" customHeight="1">
      <c r="A88" s="8">
        <v>85</v>
      </c>
      <c r="B88" s="49">
        <v>3387</v>
      </c>
      <c r="C88" s="10" t="str">
        <f>IFERROR(VLOOKUP(B88,'Runner List'!$B$3:$OT$505,5,FALSE),0)</f>
        <v>PIYAMAD SOMPAMOON</v>
      </c>
      <c r="D88" s="8" t="str">
        <f>IFERROR(VLOOKUP(B88,'Runner List'!$B$3:$O$505,7,FALSE),0)</f>
        <v>Female</v>
      </c>
      <c r="E88" s="8" t="str">
        <f>IFERROR(VLOOKUP(B88,'Runner List'!$B$3:$O$505,8,FALSE),0)</f>
        <v>40-49</v>
      </c>
      <c r="F88" s="8" t="str">
        <f>IFERROR(VLOOKUP(B88,'Runner List'!$B$3:$O$505,9,FALSE),0)</f>
        <v>Thai</v>
      </c>
      <c r="G88" s="8" t="str">
        <f>IFERROR(VLOOKUP(B88,'Runner List'!$B$3:$O$505,10,FALSE),0)</f>
        <v>MKT33</v>
      </c>
      <c r="H88" s="52">
        <f t="shared" ca="1" si="2"/>
        <v>45550.228074768522</v>
      </c>
      <c r="I88" s="76">
        <f>IFERROR(VLOOKUP(B88,'Runner List'!$B$3:$O$505,12,FALSE),0)</f>
        <v>0.22916666666666666</v>
      </c>
    </row>
    <row r="89" spans="1:9" ht="36.6" customHeight="1">
      <c r="A89" s="8">
        <v>86</v>
      </c>
      <c r="B89" s="49">
        <v>3359</v>
      </c>
      <c r="C89" s="10" t="str">
        <f>IFERROR(VLOOKUP(B89,'Runner List'!$B$3:$OT$505,5,FALSE),0)</f>
        <v>PUTTHAPONG JITRAKYAD</v>
      </c>
      <c r="D89" s="8" t="str">
        <f>IFERROR(VLOOKUP(B89,'Runner List'!$B$3:$O$505,7,FALSE),0)</f>
        <v>Male</v>
      </c>
      <c r="E89" s="8" t="str">
        <f>IFERROR(VLOOKUP(B89,'Runner List'!$B$3:$O$505,8,FALSE),0)</f>
        <v>40-49</v>
      </c>
      <c r="F89" s="8" t="str">
        <f>IFERROR(VLOOKUP(B89,'Runner List'!$B$3:$O$505,9,FALSE),0)</f>
        <v>Thai</v>
      </c>
      <c r="G89" s="8" t="str">
        <f>IFERROR(VLOOKUP(B89,'Runner List'!$B$3:$O$505,10,FALSE),0)</f>
        <v>MKT33</v>
      </c>
      <c r="H89" s="52">
        <f t="shared" ca="1" si="2"/>
        <v>45550.228118171297</v>
      </c>
      <c r="I89" s="76">
        <f>IFERROR(VLOOKUP(B89,'Runner List'!$B$3:$O$505,12,FALSE),0)</f>
        <v>0.22916666666666666</v>
      </c>
    </row>
    <row r="90" spans="1:9" ht="36.6" customHeight="1">
      <c r="A90" s="8">
        <v>87</v>
      </c>
      <c r="B90" s="49">
        <v>3335</v>
      </c>
      <c r="C90" s="10" t="str">
        <f>IFERROR(VLOOKUP(B90,'Runner List'!$B$3:$OT$505,5,FALSE),0)</f>
        <v>SUDARAT TAOLAT</v>
      </c>
      <c r="D90" s="8" t="str">
        <f>IFERROR(VLOOKUP(B90,'Runner List'!$B$3:$O$505,7,FALSE),0)</f>
        <v>Female</v>
      </c>
      <c r="E90" s="8" t="str">
        <f>IFERROR(VLOOKUP(B90,'Runner List'!$B$3:$O$505,8,FALSE),0)</f>
        <v>20-39</v>
      </c>
      <c r="F90" s="8" t="str">
        <f>IFERROR(VLOOKUP(B90,'Runner List'!$B$3:$O$505,9,FALSE),0)</f>
        <v>Thai</v>
      </c>
      <c r="G90" s="8" t="str">
        <f>IFERROR(VLOOKUP(B90,'Runner List'!$B$3:$O$505,10,FALSE),0)</f>
        <v>MKT33</v>
      </c>
      <c r="H90" s="52">
        <f t="shared" ca="1" si="2"/>
        <v>45550.228148379632</v>
      </c>
      <c r="I90" s="76">
        <f>IFERROR(VLOOKUP(B90,'Runner List'!$B$3:$O$505,12,FALSE),0)</f>
        <v>0.22916666666666666</v>
      </c>
    </row>
    <row r="91" spans="1:9" ht="36.6" customHeight="1">
      <c r="A91" s="8">
        <v>88</v>
      </c>
      <c r="B91" s="49">
        <v>3354</v>
      </c>
      <c r="C91" s="10" t="str">
        <f>IFERROR(VLOOKUP(B91,'Runner List'!$B$3:$OT$505,5,FALSE),0)</f>
        <v>SOMPHOL SIRISARINGKARN</v>
      </c>
      <c r="D91" s="8" t="str">
        <f>IFERROR(VLOOKUP(B91,'Runner List'!$B$3:$O$505,7,FALSE),0)</f>
        <v>Male</v>
      </c>
      <c r="E91" s="8" t="str">
        <f>IFERROR(VLOOKUP(B91,'Runner List'!$B$3:$O$505,8,FALSE),0)</f>
        <v>40-49</v>
      </c>
      <c r="F91" s="8" t="str">
        <f>IFERROR(VLOOKUP(B91,'Runner List'!$B$3:$O$505,9,FALSE),0)</f>
        <v>Thai</v>
      </c>
      <c r="G91" s="8" t="str">
        <f>IFERROR(VLOOKUP(B91,'Runner List'!$B$3:$O$505,10,FALSE),0)</f>
        <v>MKT33</v>
      </c>
      <c r="H91" s="52">
        <f t="shared" ca="1" si="2"/>
        <v>45550.228185763888</v>
      </c>
      <c r="I91" s="76">
        <f>IFERROR(VLOOKUP(B91,'Runner List'!$B$3:$O$505,12,FALSE),0)</f>
        <v>0.22916666666666666</v>
      </c>
    </row>
    <row r="92" spans="1:9" ht="36.6" customHeight="1">
      <c r="A92" s="8">
        <v>89</v>
      </c>
      <c r="B92" s="49">
        <v>3384</v>
      </c>
      <c r="C92" s="10" t="str">
        <f>IFERROR(VLOOKUP(B92,'Runner List'!$B$3:$OT$505,5,FALSE),0)</f>
        <v>SOPHA USUMANI</v>
      </c>
      <c r="D92" s="8" t="str">
        <f>IFERROR(VLOOKUP(B92,'Runner List'!$B$3:$O$505,7,FALSE),0)</f>
        <v>Female</v>
      </c>
      <c r="E92" s="8" t="str">
        <f>IFERROR(VLOOKUP(B92,'Runner List'!$B$3:$O$505,8,FALSE),0)</f>
        <v>40-49</v>
      </c>
      <c r="F92" s="8" t="str">
        <f>IFERROR(VLOOKUP(B92,'Runner List'!$B$3:$O$505,9,FALSE),0)</f>
        <v>Thai</v>
      </c>
      <c r="G92" s="8" t="str">
        <f>IFERROR(VLOOKUP(B92,'Runner List'!$B$3:$O$505,10,FALSE),0)</f>
        <v>MKT33</v>
      </c>
      <c r="H92" s="52">
        <f t="shared" ca="1" si="2"/>
        <v>45550.228249652777</v>
      </c>
      <c r="I92" s="76">
        <f>IFERROR(VLOOKUP(B92,'Runner List'!$B$3:$O$505,12,FALSE),0)</f>
        <v>0.22916666666666666</v>
      </c>
    </row>
    <row r="93" spans="1:9" ht="36.6" customHeight="1">
      <c r="A93" s="8">
        <v>90</v>
      </c>
      <c r="B93" s="49">
        <v>3367</v>
      </c>
      <c r="C93" s="10" t="str">
        <f>IFERROR(VLOOKUP(B93,'Runner List'!$B$3:$OT$505,5,FALSE),0)</f>
        <v>TEERANNI JUNDEE</v>
      </c>
      <c r="D93" s="8" t="str">
        <f>IFERROR(VLOOKUP(B93,'Runner List'!$B$3:$O$505,7,FALSE),0)</f>
        <v>Male</v>
      </c>
      <c r="E93" s="8" t="str">
        <f>IFERROR(VLOOKUP(B93,'Runner List'!$B$3:$O$505,8,FALSE),0)</f>
        <v>40-49</v>
      </c>
      <c r="F93" s="8" t="str">
        <f>IFERROR(VLOOKUP(B93,'Runner List'!$B$3:$O$505,9,FALSE),0)</f>
        <v>Thai</v>
      </c>
      <c r="G93" s="8" t="str">
        <f>IFERROR(VLOOKUP(B93,'Runner List'!$B$3:$O$505,10,FALSE),0)</f>
        <v>MKT33</v>
      </c>
      <c r="H93" s="52">
        <f t="shared" ca="1" si="2"/>
        <v>45550.22834386574</v>
      </c>
      <c r="I93" s="76">
        <f>IFERROR(VLOOKUP(B93,'Runner List'!$B$3:$O$505,12,FALSE),0)</f>
        <v>0.22916666666666666</v>
      </c>
    </row>
    <row r="94" spans="1:9" ht="36.6" customHeight="1">
      <c r="A94" s="8">
        <v>91</v>
      </c>
      <c r="B94" s="49">
        <v>3337</v>
      </c>
      <c r="C94" s="10" t="str">
        <f>IFERROR(VLOOKUP(B94,'Runner List'!$B$3:$OT$505,5,FALSE),0)</f>
        <v>CHAIRAT TEEKHASAENEE</v>
      </c>
      <c r="D94" s="8" t="str">
        <f>IFERROR(VLOOKUP(B94,'Runner List'!$B$3:$O$505,7,FALSE),0)</f>
        <v>Male</v>
      </c>
      <c r="E94" s="8" t="str">
        <f>IFERROR(VLOOKUP(B94,'Runner List'!$B$3:$O$505,8,FALSE),0)</f>
        <v>50-59</v>
      </c>
      <c r="F94" s="8" t="str">
        <f>IFERROR(VLOOKUP(B94,'Runner List'!$B$3:$O$505,9,FALSE),0)</f>
        <v>Thai</v>
      </c>
      <c r="G94" s="8" t="str">
        <f>IFERROR(VLOOKUP(B94,'Runner List'!$B$3:$O$505,10,FALSE),0)</f>
        <v>MKT33</v>
      </c>
      <c r="H94" s="52">
        <f t="shared" ca="1" si="2"/>
        <v>45550.228473148149</v>
      </c>
      <c r="I94" s="76">
        <f>IFERROR(VLOOKUP(B94,'Runner List'!$B$3:$O$505,12,FALSE),0)</f>
        <v>0.22916666666666666</v>
      </c>
    </row>
    <row r="95" spans="1:9" ht="36.6" customHeight="1">
      <c r="A95" s="8">
        <v>92</v>
      </c>
      <c r="B95" s="49">
        <v>3370</v>
      </c>
      <c r="C95" s="10" t="str">
        <f>IFERROR(VLOOKUP(B95,'Runner List'!$B$3:$OT$505,5,FALSE),0)</f>
        <v>WECHSON KHAMPINIT</v>
      </c>
      <c r="D95" s="8" t="str">
        <f>IFERROR(VLOOKUP(B95,'Runner List'!$B$3:$O$505,7,FALSE),0)</f>
        <v>Male</v>
      </c>
      <c r="E95" s="8" t="str">
        <f>IFERROR(VLOOKUP(B95,'Runner List'!$B$3:$O$505,8,FALSE),0)</f>
        <v>60 Plus</v>
      </c>
      <c r="F95" s="8" t="str">
        <f>IFERROR(VLOOKUP(B95,'Runner List'!$B$3:$O$505,9,FALSE),0)</f>
        <v>Thai</v>
      </c>
      <c r="G95" s="8" t="str">
        <f>IFERROR(VLOOKUP(B95,'Runner List'!$B$3:$O$505,10,FALSE),0)</f>
        <v>MKT33</v>
      </c>
      <c r="H95" s="52">
        <f t="shared" ca="1" si="2"/>
        <v>45550.228545254628</v>
      </c>
      <c r="I95" s="76">
        <f>IFERROR(VLOOKUP(B95,'Runner List'!$B$3:$O$505,12,FALSE),0)</f>
        <v>0.22916666666666666</v>
      </c>
    </row>
    <row r="96" spans="1:9" ht="36.6" customHeight="1">
      <c r="A96" s="8">
        <v>93</v>
      </c>
      <c r="B96" s="49">
        <v>3385</v>
      </c>
      <c r="C96" s="10" t="str">
        <f>IFERROR(VLOOKUP(B96,'Runner List'!$B$3:$OT$505,5,FALSE),0)</f>
        <v>UDOM YAVILAS</v>
      </c>
      <c r="D96" s="8" t="str">
        <f>IFERROR(VLOOKUP(B96,'Runner List'!$B$3:$O$505,7,FALSE),0)</f>
        <v>Male</v>
      </c>
      <c r="E96" s="8" t="str">
        <f>IFERROR(VLOOKUP(B96,'Runner List'!$B$3:$O$505,8,FALSE),0)</f>
        <v>50-59</v>
      </c>
      <c r="F96" s="8" t="str">
        <f>IFERROR(VLOOKUP(B96,'Runner List'!$B$3:$O$505,9,FALSE),0)</f>
        <v>Thai</v>
      </c>
      <c r="G96" s="8" t="str">
        <f>IFERROR(VLOOKUP(B96,'Runner List'!$B$3:$O$505,10,FALSE),0)</f>
        <v>MKT33</v>
      </c>
      <c r="H96" s="52">
        <f t="shared" ca="1" si="2"/>
        <v>45550.228602777781</v>
      </c>
      <c r="I96" s="76">
        <f>IFERROR(VLOOKUP(B96,'Runner List'!$B$3:$O$505,12,FALSE),0)</f>
        <v>0.22916666666666666</v>
      </c>
    </row>
    <row r="97" spans="1:9" ht="36.6" customHeight="1">
      <c r="A97" s="8">
        <v>94</v>
      </c>
      <c r="B97" s="49">
        <v>3391</v>
      </c>
      <c r="C97" s="10" t="str">
        <f>IFERROR(VLOOKUP(B97,'Runner List'!$B$3:$OT$505,5,FALSE),0)</f>
        <v>SAMATCHA INTAPAI</v>
      </c>
      <c r="D97" s="8" t="str">
        <f>IFERROR(VLOOKUP(B97,'Runner List'!$B$3:$O$505,7,FALSE),0)</f>
        <v>Female</v>
      </c>
      <c r="E97" s="8" t="str">
        <f>IFERROR(VLOOKUP(B97,'Runner List'!$B$3:$O$505,8,FALSE),0)</f>
        <v>20-39</v>
      </c>
      <c r="F97" s="8" t="str">
        <f>IFERROR(VLOOKUP(B97,'Runner List'!$B$3:$O$505,9,FALSE),0)</f>
        <v>Thai</v>
      </c>
      <c r="G97" s="8" t="str">
        <f>IFERROR(VLOOKUP(B97,'Runner List'!$B$3:$O$505,10,FALSE),0)</f>
        <v>MKT33</v>
      </c>
      <c r="H97" s="52">
        <f t="shared" ca="1" si="2"/>
        <v>45550.228676967592</v>
      </c>
      <c r="I97" s="76">
        <f>IFERROR(VLOOKUP(B97,'Runner List'!$B$3:$O$505,12,FALSE),0)</f>
        <v>0.22916666666666666</v>
      </c>
    </row>
    <row r="98" spans="1:9" ht="36.6" customHeight="1">
      <c r="A98" s="8">
        <v>95</v>
      </c>
      <c r="B98" s="49">
        <v>3371</v>
      </c>
      <c r="C98" s="10" t="str">
        <f>IFERROR(VLOOKUP(B98,'Runner List'!$B$3:$OT$505,5,FALSE),0)</f>
        <v>CHARUWAT KETSORN</v>
      </c>
      <c r="D98" s="8" t="str">
        <f>IFERROR(VLOOKUP(B98,'Runner List'!$B$3:$O$505,7,FALSE),0)</f>
        <v>Male</v>
      </c>
      <c r="E98" s="8" t="str">
        <f>IFERROR(VLOOKUP(B98,'Runner List'!$B$3:$O$505,8,FALSE),0)</f>
        <v>50-59</v>
      </c>
      <c r="F98" s="8" t="str">
        <f>IFERROR(VLOOKUP(B98,'Runner List'!$B$3:$O$505,9,FALSE),0)</f>
        <v>Thai</v>
      </c>
      <c r="G98" s="8" t="str">
        <f>IFERROR(VLOOKUP(B98,'Runner List'!$B$3:$O$505,10,FALSE),0)</f>
        <v>MKT33</v>
      </c>
      <c r="H98" s="52">
        <f t="shared" ca="1" si="2"/>
        <v>45550.228721527776</v>
      </c>
      <c r="I98" s="76">
        <f>IFERROR(VLOOKUP(B98,'Runner List'!$B$3:$O$505,12,FALSE),0)</f>
        <v>0.22916666666666666</v>
      </c>
    </row>
    <row r="99" spans="1:9" ht="36.6" customHeight="1">
      <c r="A99" s="8">
        <v>96</v>
      </c>
      <c r="B99" s="49">
        <v>3386</v>
      </c>
      <c r="C99" s="10" t="str">
        <f>IFERROR(VLOOKUP(B99,'Runner List'!$B$3:$OT$505,5,FALSE),0)</f>
        <v>ARTITH KORKIETSOPA</v>
      </c>
      <c r="D99" s="8" t="str">
        <f>IFERROR(VLOOKUP(B99,'Runner List'!$B$3:$O$505,7,FALSE),0)</f>
        <v>Male</v>
      </c>
      <c r="E99" s="8" t="str">
        <f>IFERROR(VLOOKUP(B99,'Runner List'!$B$3:$O$505,8,FALSE),0)</f>
        <v>20-39</v>
      </c>
      <c r="F99" s="8" t="str">
        <f>IFERROR(VLOOKUP(B99,'Runner List'!$B$3:$O$505,9,FALSE),0)</f>
        <v>Thai</v>
      </c>
      <c r="G99" s="8" t="str">
        <f>IFERROR(VLOOKUP(B99,'Runner List'!$B$3:$O$505,10,FALSE),0)</f>
        <v>MKT33</v>
      </c>
      <c r="H99" s="52">
        <f t="shared" ca="1" si="2"/>
        <v>45550.228791435184</v>
      </c>
      <c r="I99" s="76">
        <f>IFERROR(VLOOKUP(B99,'Runner List'!$B$3:$O$505,12,FALSE),0)</f>
        <v>0.22916666666666666</v>
      </c>
    </row>
    <row r="100" spans="1:9" ht="36.6" customHeight="1">
      <c r="A100" s="8">
        <v>97</v>
      </c>
      <c r="B100" s="49">
        <v>3392</v>
      </c>
      <c r="C100" s="10" t="str">
        <f>IFERROR(VLOOKUP(B100,'Runner List'!$B$3:$OT$505,5,FALSE),0)</f>
        <v>SERI PHUPHISIT</v>
      </c>
      <c r="D100" s="8" t="str">
        <f>IFERROR(VLOOKUP(B100,'Runner List'!$B$3:$O$505,7,FALSE),0)</f>
        <v>Male</v>
      </c>
      <c r="E100" s="8" t="str">
        <f>IFERROR(VLOOKUP(B100,'Runner List'!$B$3:$O$505,8,FALSE),0)</f>
        <v>60 Plus</v>
      </c>
      <c r="F100" s="8" t="str">
        <f>IFERROR(VLOOKUP(B100,'Runner List'!$B$3:$O$505,9,FALSE),0)</f>
        <v>Thai</v>
      </c>
      <c r="G100" s="8" t="str">
        <f>IFERROR(VLOOKUP(B100,'Runner List'!$B$3:$O$505,10,FALSE),0)</f>
        <v>MKT33</v>
      </c>
      <c r="H100" s="52">
        <f t="shared" ca="1" si="2"/>
        <v>45550.228900462964</v>
      </c>
      <c r="I100" s="76">
        <f>IFERROR(VLOOKUP(B100,'Runner List'!$B$3:$O$505,12,FALSE),0)</f>
        <v>0.22916666666666666</v>
      </c>
    </row>
    <row r="101" spans="1:9" ht="36.6" customHeight="1">
      <c r="A101" s="8">
        <v>98</v>
      </c>
      <c r="B101" s="49">
        <v>3378</v>
      </c>
      <c r="C101" s="10" t="str">
        <f>IFERROR(VLOOKUP(B101,'Runner List'!$B$3:$OT$505,5,FALSE),0)</f>
        <v>UTHAI PIM </v>
      </c>
      <c r="D101" s="8" t="str">
        <f>IFERROR(VLOOKUP(B101,'Runner List'!$B$3:$O$505,7,FALSE),0)</f>
        <v>Male</v>
      </c>
      <c r="E101" s="8" t="str">
        <f>IFERROR(VLOOKUP(B101,'Runner List'!$B$3:$O$505,8,FALSE),0)</f>
        <v>50-59</v>
      </c>
      <c r="F101" s="8" t="str">
        <f>IFERROR(VLOOKUP(B101,'Runner List'!$B$3:$O$505,9,FALSE),0)</f>
        <v>Thai</v>
      </c>
      <c r="G101" s="8" t="str">
        <f>IFERROR(VLOOKUP(B101,'Runner List'!$B$3:$O$505,10,FALSE),0)</f>
        <v>MKT33</v>
      </c>
      <c r="H101" s="52">
        <f t="shared" ca="1" si="2"/>
        <v>45550.228953124999</v>
      </c>
      <c r="I101" s="76">
        <f>IFERROR(VLOOKUP(B101,'Runner List'!$B$3:$O$505,12,FALSE),0)</f>
        <v>0.22916666666666666</v>
      </c>
    </row>
    <row r="102" spans="1:9" ht="36.6" customHeight="1">
      <c r="A102" s="8">
        <v>99</v>
      </c>
      <c r="B102" s="49">
        <v>3356</v>
      </c>
      <c r="C102" s="10" t="str">
        <f>IFERROR(VLOOKUP(B102,'Runner List'!$B$3:$OT$505,5,FALSE),0)</f>
        <v>MATCHA PHORIN</v>
      </c>
      <c r="D102" s="8" t="str">
        <f>IFERROR(VLOOKUP(B102,'Runner List'!$B$3:$O$505,7,FALSE),0)</f>
        <v>LGBTIQAN+</v>
      </c>
      <c r="E102" s="8" t="str">
        <f>IFERROR(VLOOKUP(B102,'Runner List'!$B$3:$O$505,8,FALSE),0)</f>
        <v>40-49</v>
      </c>
      <c r="F102" s="8" t="str">
        <f>IFERROR(VLOOKUP(B102,'Runner List'!$B$3:$O$505,9,FALSE),0)</f>
        <v>Thai</v>
      </c>
      <c r="G102" s="8" t="str">
        <f>IFERROR(VLOOKUP(B102,'Runner List'!$B$3:$O$505,10,FALSE),0)</f>
        <v>MKT33</v>
      </c>
      <c r="H102" s="52">
        <f t="shared" ca="1" si="2"/>
        <v>45550.229064699073</v>
      </c>
      <c r="I102" s="76">
        <f>IFERROR(VLOOKUP(B102,'Runner List'!$B$3:$O$505,12,FALSE),0)</f>
        <v>0.22916666666666666</v>
      </c>
    </row>
    <row r="103" spans="1:9" ht="36.6" customHeight="1">
      <c r="A103" s="8">
        <v>100</v>
      </c>
      <c r="B103" s="49">
        <v>3342</v>
      </c>
      <c r="C103" s="10" t="str">
        <f>IFERROR(VLOOKUP(B103,'Runner List'!$B$3:$OT$505,5,FALSE),0)</f>
        <v>DAN KOOTTATEP</v>
      </c>
      <c r="D103" s="8" t="str">
        <f>IFERROR(VLOOKUP(B103,'Runner List'!$B$3:$O$505,7,FALSE),0)</f>
        <v>Male</v>
      </c>
      <c r="E103" s="8" t="str">
        <f>IFERROR(VLOOKUP(B103,'Runner List'!$B$3:$O$505,8,FALSE),0)</f>
        <v>40-49</v>
      </c>
      <c r="F103" s="8" t="str">
        <f>IFERROR(VLOOKUP(B103,'Runner List'!$B$3:$O$505,9,FALSE),0)</f>
        <v>Norwegian</v>
      </c>
      <c r="G103" s="8" t="str">
        <f>IFERROR(VLOOKUP(B103,'Runner List'!$B$3:$O$505,10,FALSE),0)</f>
        <v>MKT33</v>
      </c>
      <c r="H103" s="52">
        <f t="shared" ca="1" si="2"/>
        <v>45550.229163425924</v>
      </c>
      <c r="I103" s="76">
        <f>IFERROR(VLOOKUP(B103,'Runner List'!$B$3:$O$505,12,FALSE),0)</f>
        <v>0.22916666666666666</v>
      </c>
    </row>
    <row r="104" spans="1:9" ht="36" customHeight="1">
      <c r="A104" s="8">
        <v>101</v>
      </c>
      <c r="B104" s="49">
        <v>3345</v>
      </c>
      <c r="C104" s="10" t="str">
        <f>IFERROR(VLOOKUP(B104,'Runner List'!$B$3:$OT$505,5,FALSE),0)</f>
        <v>CHONHATHAI THIENSIRI</v>
      </c>
      <c r="D104" s="8" t="str">
        <f>IFERROR(VLOOKUP(B104,'Runner List'!$B$3:$O$505,7,FALSE),0)</f>
        <v>Female</v>
      </c>
      <c r="E104" s="8" t="str">
        <f>IFERROR(VLOOKUP(B104,'Runner List'!$B$3:$O$505,8,FALSE),0)</f>
        <v>20-39</v>
      </c>
      <c r="F104" s="8" t="str">
        <f>IFERROR(VLOOKUP(B104,'Runner List'!$B$3:$O$505,9,FALSE),0)</f>
        <v>Thai</v>
      </c>
      <c r="G104" s="8" t="str">
        <f>IFERROR(VLOOKUP(B104,'Runner List'!$B$3:$O$505,10,FALSE),0)</f>
        <v>MKT33</v>
      </c>
      <c r="H104" s="52">
        <f t="shared" ca="1" si="2"/>
        <v>45550.229218981483</v>
      </c>
      <c r="I104" s="76">
        <f>IFERROR(VLOOKUP(B104,'Runner List'!$B$3:$O$505,12,FALSE),0)</f>
        <v>0.22916666666666666</v>
      </c>
    </row>
    <row r="105" spans="1:9" ht="36" customHeight="1">
      <c r="A105" s="8">
        <v>102</v>
      </c>
      <c r="B105" s="49">
        <v>3347</v>
      </c>
      <c r="C105" s="10" t="str">
        <f>IFERROR(VLOOKUP(B105,'Runner List'!$B$3:$OT$505,5,FALSE),0)</f>
        <v>PORNPOT KAJORNJIT</v>
      </c>
      <c r="D105" s="8" t="str">
        <f>IFERROR(VLOOKUP(B105,'Runner List'!$B$3:$O$505,7,FALSE),0)</f>
        <v>Male</v>
      </c>
      <c r="E105" s="8" t="str">
        <f>IFERROR(VLOOKUP(B105,'Runner List'!$B$3:$O$505,8,FALSE),0)</f>
        <v>20-39</v>
      </c>
      <c r="F105" s="8" t="str">
        <f>IFERROR(VLOOKUP(B105,'Runner List'!$B$3:$O$505,9,FALSE),0)</f>
        <v>Thai</v>
      </c>
      <c r="G105" s="8" t="str">
        <f>IFERROR(VLOOKUP(B105,'Runner List'!$B$3:$O$505,10,FALSE),0)</f>
        <v>MKT33</v>
      </c>
      <c r="H105" s="52">
        <f t="shared" ca="1" si="2"/>
        <v>45550.229274999998</v>
      </c>
      <c r="I105" s="76">
        <f>IFERROR(VLOOKUP(B105,'Runner List'!$B$3:$O$505,12,FALSE),0)</f>
        <v>0.22916666666666666</v>
      </c>
    </row>
    <row r="106" spans="1:9" ht="36" customHeight="1">
      <c r="A106" s="8">
        <v>103</v>
      </c>
      <c r="B106" s="49">
        <v>3398</v>
      </c>
      <c r="C106" s="10" t="str">
        <f>IFERROR(VLOOKUP(B106,'Runner List'!$B$3:$OT$505,5,FALSE),0)</f>
        <v>NUTCHAYA BOONTHUM</v>
      </c>
      <c r="D106" s="8" t="str">
        <f>IFERROR(VLOOKUP(B106,'Runner List'!$B$3:$O$505,7,FALSE),0)</f>
        <v>Female</v>
      </c>
      <c r="E106" s="8" t="str">
        <f>IFERROR(VLOOKUP(B106,'Runner List'!$B$3:$O$505,8,FALSE),0)</f>
        <v>20-39</v>
      </c>
      <c r="F106" s="8" t="str">
        <f>IFERROR(VLOOKUP(B106,'Runner List'!$B$3:$O$505,9,FALSE),0)</f>
        <v>Thai</v>
      </c>
      <c r="G106" s="8" t="str">
        <f>IFERROR(VLOOKUP(B106,'Runner List'!$B$3:$O$505,10,FALSE),0)</f>
        <v>MKT33</v>
      </c>
      <c r="H106" s="52">
        <f t="shared" ca="1" si="2"/>
        <v>45550.229343749997</v>
      </c>
      <c r="I106" s="76">
        <f>IFERROR(VLOOKUP(B106,'Runner List'!$B$3:$O$505,12,FALSE),0)</f>
        <v>0.22916666666666666</v>
      </c>
    </row>
    <row r="107" spans="1:9" ht="36" customHeight="1">
      <c r="A107" s="8">
        <v>104</v>
      </c>
      <c r="B107" s="49">
        <v>3346</v>
      </c>
      <c r="C107" s="10" t="str">
        <f>IFERROR(VLOOKUP(B107,'Runner List'!$B$3:$OT$505,5,FALSE),0)</f>
        <v>NITITHRON ASAWAWONGMETHEE</v>
      </c>
      <c r="D107" s="8" t="str">
        <f>IFERROR(VLOOKUP(B107,'Runner List'!$B$3:$O$505,7,FALSE),0)</f>
        <v>Male</v>
      </c>
      <c r="E107" s="8" t="str">
        <f>IFERROR(VLOOKUP(B107,'Runner List'!$B$3:$O$505,8,FALSE),0)</f>
        <v>20-39</v>
      </c>
      <c r="F107" s="8" t="str">
        <f>IFERROR(VLOOKUP(B107,'Runner List'!$B$3:$O$505,9,FALSE),0)</f>
        <v>Thai</v>
      </c>
      <c r="G107" s="8" t="str">
        <f>IFERROR(VLOOKUP(B107,'Runner List'!$B$3:$O$505,10,FALSE),0)</f>
        <v>MKT33</v>
      </c>
      <c r="H107" s="52">
        <f t="shared" ca="1" si="2"/>
        <v>45550.229420370371</v>
      </c>
      <c r="I107" s="76">
        <f>IFERROR(VLOOKUP(B107,'Runner List'!$B$3:$O$505,12,FALSE),0)</f>
        <v>0.22916666666666666</v>
      </c>
    </row>
    <row r="108" spans="1:9" ht="36" customHeight="1">
      <c r="A108" s="8">
        <v>105</v>
      </c>
      <c r="B108" s="49">
        <v>3366</v>
      </c>
      <c r="C108" s="10" t="str">
        <f>IFERROR(VLOOKUP(B108,'Runner List'!$B$3:$OT$505,5,FALSE),0)</f>
        <v>SUPAROEK NIYOMKARN</v>
      </c>
      <c r="D108" s="8" t="str">
        <f>IFERROR(VLOOKUP(B108,'Runner List'!$B$3:$O$505,7,FALSE),0)</f>
        <v>Male</v>
      </c>
      <c r="E108" s="8" t="str">
        <f>IFERROR(VLOOKUP(B108,'Runner List'!$B$3:$O$505,8,FALSE),0)</f>
        <v>20-39</v>
      </c>
      <c r="F108" s="8" t="str">
        <f>IFERROR(VLOOKUP(B108,'Runner List'!$B$3:$O$505,9,FALSE),0)</f>
        <v>Thai</v>
      </c>
      <c r="G108" s="8" t="str">
        <f>IFERROR(VLOOKUP(B108,'Runner List'!$B$3:$O$505,10,FALSE),0)</f>
        <v>MKT33</v>
      </c>
      <c r="H108" s="52">
        <f t="shared" ca="1" si="2"/>
        <v>45550.229489004632</v>
      </c>
      <c r="I108" s="76">
        <f>IFERROR(VLOOKUP(B108,'Runner List'!$B$3:$O$505,12,FALSE),0)</f>
        <v>0.22916666666666666</v>
      </c>
    </row>
    <row r="109" spans="1:9" ht="36" customHeight="1">
      <c r="A109" s="8">
        <v>106</v>
      </c>
      <c r="B109" s="49">
        <v>3399</v>
      </c>
      <c r="C109" s="10" t="str">
        <f>IFERROR(VLOOKUP(B109,'Runner List'!$B$3:$OT$505,5,FALSE),0)</f>
        <v>KAMONNUT SUWANNA</v>
      </c>
      <c r="D109" s="8" t="str">
        <f>IFERROR(VLOOKUP(B109,'Runner List'!$B$3:$O$505,7,FALSE),0)</f>
        <v>Male</v>
      </c>
      <c r="E109" s="8" t="str">
        <f>IFERROR(VLOOKUP(B109,'Runner List'!$B$3:$O$505,8,FALSE),0)</f>
        <v>20-39</v>
      </c>
      <c r="F109" s="8" t="str">
        <f>IFERROR(VLOOKUP(B109,'Runner List'!$B$3:$O$505,9,FALSE),0)</f>
        <v>Thai</v>
      </c>
      <c r="G109" s="8" t="str">
        <f>IFERROR(VLOOKUP(B109,'Runner List'!$B$3:$O$505,10,FALSE),0)</f>
        <v>MKT33</v>
      </c>
      <c r="H109" s="52">
        <f t="shared" ca="1" si="2"/>
        <v>45550.229630092595</v>
      </c>
      <c r="I109" s="76">
        <f>IFERROR(VLOOKUP(B109,'Runner List'!$B$3:$O$505,12,FALSE),0)</f>
        <v>0.22916666666666666</v>
      </c>
    </row>
    <row r="110" spans="1:9" ht="36" customHeight="1">
      <c r="A110" s="8">
        <v>107</v>
      </c>
      <c r="B110" s="49">
        <v>3332</v>
      </c>
      <c r="C110" s="10" t="str">
        <f>IFERROR(VLOOKUP(B110,'Runner List'!$B$3:$OT$505,5,FALSE),0)</f>
        <v>NIPAWAN JAITANONG</v>
      </c>
      <c r="D110" s="8" t="str">
        <f>IFERROR(VLOOKUP(B110,'Runner List'!$B$3:$O$505,7,FALSE),0)</f>
        <v>Female</v>
      </c>
      <c r="E110" s="8" t="str">
        <f>IFERROR(VLOOKUP(B110,'Runner List'!$B$3:$O$505,8,FALSE),0)</f>
        <v>40-49</v>
      </c>
      <c r="F110" s="8" t="str">
        <f>IFERROR(VLOOKUP(B110,'Runner List'!$B$3:$O$505,9,FALSE),0)</f>
        <v>Thai</v>
      </c>
      <c r="G110" s="8" t="str">
        <f>IFERROR(VLOOKUP(B110,'Runner List'!$B$3:$O$505,10,FALSE),0)</f>
        <v>MKT33</v>
      </c>
      <c r="H110" s="52">
        <f t="shared" ca="1" si="2"/>
        <v>45550.230993750003</v>
      </c>
      <c r="I110" s="76">
        <f>IFERROR(VLOOKUP(B110,'Runner List'!$B$3:$O$505,12,FALSE),0)</f>
        <v>0.22916666666666666</v>
      </c>
    </row>
    <row r="111" spans="1:9" ht="36" customHeight="1">
      <c r="A111" s="8">
        <v>108</v>
      </c>
      <c r="B111" s="49">
        <v>3328</v>
      </c>
      <c r="C111" s="10" t="str">
        <f>IFERROR(VLOOKUP(B111,'Runner List'!$B$3:$OT$505,5,FALSE),0)</f>
        <v>PHAWINEE TIPHAWANG</v>
      </c>
      <c r="D111" s="8" t="str">
        <f>IFERROR(VLOOKUP(B111,'Runner List'!$B$3:$O$505,7,FALSE),0)</f>
        <v>Female</v>
      </c>
      <c r="E111" s="8" t="str">
        <f>IFERROR(VLOOKUP(B111,'Runner List'!$B$3:$O$505,8,FALSE),0)</f>
        <v>20-39</v>
      </c>
      <c r="F111" s="8" t="str">
        <f>IFERROR(VLOOKUP(B111,'Runner List'!$B$3:$O$505,9,FALSE),0)</f>
        <v>Thai</v>
      </c>
      <c r="G111" s="8" t="str">
        <f>IFERROR(VLOOKUP(B111,'Runner List'!$B$3:$O$505,10,FALSE),0)</f>
        <v>MKT33</v>
      </c>
      <c r="H111" s="52">
        <f t="shared" ca="1" si="2"/>
        <v>45550.231065856482</v>
      </c>
      <c r="I111" s="76">
        <f>IFERROR(VLOOKUP(B111,'Runner List'!$B$3:$O$505,12,FALSE),0)</f>
        <v>0.22916666666666666</v>
      </c>
    </row>
    <row r="112" spans="1:9" ht="36" customHeight="1">
      <c r="A112" s="8">
        <v>109</v>
      </c>
      <c r="B112" s="49">
        <v>3333</v>
      </c>
      <c r="C112" s="10" t="str">
        <f>IFERROR(VLOOKUP(B112,'Runner List'!$B$3:$OT$505,5,FALSE),0)</f>
        <v>SOMCHID KANTHAYA</v>
      </c>
      <c r="D112" s="8" t="str">
        <f>IFERROR(VLOOKUP(B112,'Runner List'!$B$3:$O$505,7,FALSE),0)</f>
        <v>Male</v>
      </c>
      <c r="E112" s="8" t="str">
        <f>IFERROR(VLOOKUP(B112,'Runner List'!$B$3:$O$505,8,FALSE),0)</f>
        <v>50-59</v>
      </c>
      <c r="F112" s="8" t="str">
        <f>IFERROR(VLOOKUP(B112,'Runner List'!$B$3:$O$505,9,FALSE),0)</f>
        <v>Thai</v>
      </c>
      <c r="G112" s="8" t="str">
        <f>IFERROR(VLOOKUP(B112,'Runner List'!$B$3:$O$505,10,FALSE),0)</f>
        <v>MKT33</v>
      </c>
      <c r="H112" s="52">
        <f t="shared" ca="1" si="2"/>
        <v>45550.231136689814</v>
      </c>
      <c r="I112" s="76">
        <f>IFERROR(VLOOKUP(B112,'Runner List'!$B$3:$O$505,12,FALSE),0)</f>
        <v>0.22916666666666666</v>
      </c>
    </row>
    <row r="113" spans="1:9" ht="36" customHeight="1">
      <c r="A113" s="8">
        <v>110</v>
      </c>
      <c r="B113" s="49"/>
      <c r="C113" s="10">
        <f>IFERROR(VLOOKUP(B113,'Runner List'!$B$3:$OT$505,5,FALSE),0)</f>
        <v>0</v>
      </c>
      <c r="D113" s="8">
        <f>IFERROR(VLOOKUP(B113,'Runner List'!$B$3:$O$505,7,FALSE),0)</f>
        <v>0</v>
      </c>
      <c r="E113" s="8">
        <f>IFERROR(VLOOKUP(B113,'Runner List'!$B$3:$O$505,8,FALSE),0)</f>
        <v>0</v>
      </c>
      <c r="F113" s="8">
        <f>IFERROR(VLOOKUP(B113,'Runner List'!$B$3:$O$505,9,FALSE),0)</f>
        <v>0</v>
      </c>
      <c r="G113" s="8">
        <f>IFERROR(VLOOKUP(B113,'Runner List'!$B$3:$O$505,10,FALSE),0)</f>
        <v>0</v>
      </c>
      <c r="H113" s="52" t="str">
        <f t="shared" ca="1" si="2"/>
        <v/>
      </c>
      <c r="I113" s="76">
        <f>IFERROR(VLOOKUP(B113,'Runner List'!$B$3:$O$505,12,FALSE),0)</f>
        <v>0</v>
      </c>
    </row>
    <row r="114" spans="1:9" ht="36" customHeight="1">
      <c r="A114" s="8">
        <v>111</v>
      </c>
      <c r="B114" s="49"/>
      <c r="C114" s="10">
        <f>IFERROR(VLOOKUP(B114,'Runner List'!$B$3:$OT$505,5,FALSE),0)</f>
        <v>0</v>
      </c>
      <c r="D114" s="8">
        <f>IFERROR(VLOOKUP(B114,'Runner List'!$B$3:$O$505,7,FALSE),0)</f>
        <v>0</v>
      </c>
      <c r="E114" s="8">
        <f>IFERROR(VLOOKUP(B114,'Runner List'!$B$3:$O$505,8,FALSE),0)</f>
        <v>0</v>
      </c>
      <c r="F114" s="8">
        <f>IFERROR(VLOOKUP(B114,'Runner List'!$B$3:$O$505,9,FALSE),0)</f>
        <v>0</v>
      </c>
      <c r="G114" s="8">
        <f>IFERROR(VLOOKUP(B114,'Runner List'!$B$3:$O$505,10,FALSE),0)</f>
        <v>0</v>
      </c>
      <c r="H114" s="52" t="str">
        <f t="shared" ca="1" si="2"/>
        <v/>
      </c>
      <c r="I114" s="76">
        <f>IFERROR(VLOOKUP(B114,'Runner List'!$B$3:$O$505,12,FALSE),0)</f>
        <v>0</v>
      </c>
    </row>
    <row r="115" spans="1:9" ht="36" customHeight="1">
      <c r="A115" s="8">
        <v>112</v>
      </c>
      <c r="B115" s="49"/>
      <c r="C115" s="10">
        <f>IFERROR(VLOOKUP(B115,'Runner List'!$B$3:$OT$505,5,FALSE),0)</f>
        <v>0</v>
      </c>
      <c r="D115" s="8">
        <f>IFERROR(VLOOKUP(B115,'Runner List'!$B$3:$O$505,7,FALSE),0)</f>
        <v>0</v>
      </c>
      <c r="E115" s="8">
        <f>IFERROR(VLOOKUP(B115,'Runner List'!$B$3:$O$505,8,FALSE),0)</f>
        <v>0</v>
      </c>
      <c r="F115" s="8">
        <f>IFERROR(VLOOKUP(B115,'Runner List'!$B$3:$O$505,9,FALSE),0)</f>
        <v>0</v>
      </c>
      <c r="G115" s="8">
        <f>IFERROR(VLOOKUP(B115,'Runner List'!$B$3:$O$505,10,FALSE),0)</f>
        <v>0</v>
      </c>
      <c r="H115" s="52" t="str">
        <f t="shared" ca="1" si="2"/>
        <v/>
      </c>
      <c r="I115" s="76">
        <f>IFERROR(VLOOKUP(B115,'Runner List'!$B$3:$O$505,12,FALSE),0)</f>
        <v>0</v>
      </c>
    </row>
    <row r="116" spans="1:9" ht="36" customHeight="1">
      <c r="A116" s="8">
        <v>113</v>
      </c>
      <c r="B116" s="49"/>
      <c r="C116" s="10">
        <f>IFERROR(VLOOKUP(B116,'Runner List'!$B$3:$OT$505,5,FALSE),0)</f>
        <v>0</v>
      </c>
      <c r="D116" s="8">
        <f>IFERROR(VLOOKUP(B116,'Runner List'!$B$3:$O$505,7,FALSE),0)</f>
        <v>0</v>
      </c>
      <c r="E116" s="8">
        <f>IFERROR(VLOOKUP(B116,'Runner List'!$B$3:$O$505,8,FALSE),0)</f>
        <v>0</v>
      </c>
      <c r="F116" s="8">
        <f>IFERROR(VLOOKUP(B116,'Runner List'!$B$3:$O$505,9,FALSE),0)</f>
        <v>0</v>
      </c>
      <c r="G116" s="8">
        <f>IFERROR(VLOOKUP(B116,'Runner List'!$B$3:$O$505,10,FALSE),0)</f>
        <v>0</v>
      </c>
      <c r="H116" s="52" t="str">
        <f t="shared" ca="1" si="2"/>
        <v/>
      </c>
      <c r="I116" s="76">
        <f>IFERROR(VLOOKUP(B116,'Runner List'!$B$3:$O$505,12,FALSE),0)</f>
        <v>0</v>
      </c>
    </row>
    <row r="117" spans="1:9" ht="36" customHeight="1">
      <c r="A117" s="8">
        <v>114</v>
      </c>
      <c r="B117" s="49"/>
      <c r="C117" s="10">
        <f>IFERROR(VLOOKUP(B117,'Runner List'!$B$3:$OT$505,5,FALSE),0)</f>
        <v>0</v>
      </c>
      <c r="D117" s="8">
        <f>IFERROR(VLOOKUP(B117,'Runner List'!$B$3:$O$505,7,FALSE),0)</f>
        <v>0</v>
      </c>
      <c r="E117" s="8">
        <f>IFERROR(VLOOKUP(B117,'Runner List'!$B$3:$O$505,8,FALSE),0)</f>
        <v>0</v>
      </c>
      <c r="F117" s="8">
        <f>IFERROR(VLOOKUP(B117,'Runner List'!$B$3:$O$505,9,FALSE),0)</f>
        <v>0</v>
      </c>
      <c r="G117" s="8">
        <f>IFERROR(VLOOKUP(B117,'Runner List'!$B$3:$O$505,10,FALSE),0)</f>
        <v>0</v>
      </c>
      <c r="H117" s="52" t="str">
        <f t="shared" ca="1" si="2"/>
        <v/>
      </c>
      <c r="I117" s="76">
        <f>IFERROR(VLOOKUP(B117,'Runner List'!$B$3:$O$505,12,FALSE),0)</f>
        <v>0</v>
      </c>
    </row>
    <row r="118" spans="1:9" ht="36" customHeight="1">
      <c r="A118" s="8">
        <v>115</v>
      </c>
      <c r="B118" s="49"/>
      <c r="C118" s="10">
        <f>IFERROR(VLOOKUP(B118,'Runner List'!$B$3:$OT$505,5,FALSE),0)</f>
        <v>0</v>
      </c>
      <c r="D118" s="8">
        <f>IFERROR(VLOOKUP(B118,'Runner List'!$B$3:$O$505,7,FALSE),0)</f>
        <v>0</v>
      </c>
      <c r="E118" s="8">
        <f>IFERROR(VLOOKUP(B118,'Runner List'!$B$3:$O$505,8,FALSE),0)</f>
        <v>0</v>
      </c>
      <c r="F118" s="8">
        <f>IFERROR(VLOOKUP(B118,'Runner List'!$B$3:$O$505,9,FALSE),0)</f>
        <v>0</v>
      </c>
      <c r="G118" s="8">
        <f>IFERROR(VLOOKUP(B118,'Runner List'!$B$3:$O$505,10,FALSE),0)</f>
        <v>0</v>
      </c>
      <c r="H118" s="52" t="str">
        <f t="shared" ca="1" si="2"/>
        <v/>
      </c>
      <c r="I118" s="76">
        <f>IFERROR(VLOOKUP(B118,'Runner List'!$B$3:$O$505,12,FALSE),0)</f>
        <v>0</v>
      </c>
    </row>
    <row r="119" spans="1:9" ht="36" customHeight="1">
      <c r="A119" s="8">
        <v>116</v>
      </c>
      <c r="B119" s="49"/>
      <c r="C119" s="10">
        <f>IFERROR(VLOOKUP(B119,'Runner List'!$B$3:$OT$505,5,FALSE),0)</f>
        <v>0</v>
      </c>
      <c r="D119" s="8">
        <f>IFERROR(VLOOKUP(B119,'Runner List'!$B$3:$O$505,7,FALSE),0)</f>
        <v>0</v>
      </c>
      <c r="E119" s="8">
        <f>IFERROR(VLOOKUP(B119,'Runner List'!$B$3:$O$505,8,FALSE),0)</f>
        <v>0</v>
      </c>
      <c r="F119" s="8">
        <f>IFERROR(VLOOKUP(B119,'Runner List'!$B$3:$O$505,9,FALSE),0)</f>
        <v>0</v>
      </c>
      <c r="G119" s="8">
        <f>IFERROR(VLOOKUP(B119,'Runner List'!$B$3:$O$505,10,FALSE),0)</f>
        <v>0</v>
      </c>
      <c r="H119" s="52" t="str">
        <f t="shared" ca="1" si="2"/>
        <v/>
      </c>
      <c r="I119" s="76">
        <f>IFERROR(VLOOKUP(B119,'Runner List'!$B$3:$O$505,12,FALSE),0)</f>
        <v>0</v>
      </c>
    </row>
    <row r="120" spans="1:9" ht="36" customHeight="1">
      <c r="A120" s="8">
        <v>117</v>
      </c>
      <c r="B120" s="49"/>
      <c r="C120" s="10">
        <f>IFERROR(VLOOKUP(B120,'Runner List'!$B$3:$OT$505,5,FALSE),0)</f>
        <v>0</v>
      </c>
      <c r="D120" s="8">
        <f>IFERROR(VLOOKUP(B120,'Runner List'!$B$3:$O$505,7,FALSE),0)</f>
        <v>0</v>
      </c>
      <c r="E120" s="8">
        <f>IFERROR(VLOOKUP(B120,'Runner List'!$B$3:$O$505,8,FALSE),0)</f>
        <v>0</v>
      </c>
      <c r="F120" s="8">
        <f>IFERROR(VLOOKUP(B120,'Runner List'!$B$3:$O$505,9,FALSE),0)</f>
        <v>0</v>
      </c>
      <c r="G120" s="8">
        <f>IFERROR(VLOOKUP(B120,'Runner List'!$B$3:$O$505,10,FALSE),0)</f>
        <v>0</v>
      </c>
      <c r="H120" s="52" t="str">
        <f t="shared" ca="1" si="2"/>
        <v/>
      </c>
      <c r="I120" s="76">
        <f>IFERROR(VLOOKUP(B120,'Runner List'!$B$3:$O$505,12,FALSE),0)</f>
        <v>0</v>
      </c>
    </row>
    <row r="121" spans="1:9" ht="36" customHeight="1">
      <c r="A121" s="8">
        <v>118</v>
      </c>
      <c r="B121" s="49"/>
      <c r="C121" s="10">
        <f>IFERROR(VLOOKUP(B121,'Runner List'!$B$3:$OT$505,5,FALSE),0)</f>
        <v>0</v>
      </c>
      <c r="D121" s="8">
        <f>IFERROR(VLOOKUP(B121,'Runner List'!$B$3:$O$505,7,FALSE),0)</f>
        <v>0</v>
      </c>
      <c r="E121" s="8">
        <f>IFERROR(VLOOKUP(B121,'Runner List'!$B$3:$O$505,8,FALSE),0)</f>
        <v>0</v>
      </c>
      <c r="F121" s="8">
        <f>IFERROR(VLOOKUP(B121,'Runner List'!$B$3:$O$505,9,FALSE),0)</f>
        <v>0</v>
      </c>
      <c r="G121" s="8">
        <f>IFERROR(VLOOKUP(B121,'Runner List'!$B$3:$O$505,10,FALSE),0)</f>
        <v>0</v>
      </c>
      <c r="H121" s="52" t="str">
        <f t="shared" ca="1" si="2"/>
        <v/>
      </c>
      <c r="I121" s="76">
        <f>IFERROR(VLOOKUP(B121,'Runner List'!$B$3:$O$505,12,FALSE),0)</f>
        <v>0</v>
      </c>
    </row>
    <row r="122" spans="1:9" ht="36" customHeight="1">
      <c r="A122" s="8">
        <v>119</v>
      </c>
      <c r="B122" s="49"/>
      <c r="C122" s="10">
        <f>IFERROR(VLOOKUP(B122,'Runner List'!$B$3:$OT$505,5,FALSE),0)</f>
        <v>0</v>
      </c>
      <c r="D122" s="8">
        <f>IFERROR(VLOOKUP(B122,'Runner List'!$B$3:$O$505,7,FALSE),0)</f>
        <v>0</v>
      </c>
      <c r="E122" s="8">
        <f>IFERROR(VLOOKUP(B122,'Runner List'!$B$3:$O$505,8,FALSE),0)</f>
        <v>0</v>
      </c>
      <c r="F122" s="8">
        <f>IFERROR(VLOOKUP(B122,'Runner List'!$B$3:$O$505,9,FALSE),0)</f>
        <v>0</v>
      </c>
      <c r="G122" s="8">
        <f>IFERROR(VLOOKUP(B122,'Runner List'!$B$3:$O$505,10,FALSE),0)</f>
        <v>0</v>
      </c>
      <c r="H122" s="52" t="str">
        <f t="shared" ca="1" si="2"/>
        <v/>
      </c>
      <c r="I122" s="76">
        <f>IFERROR(VLOOKUP(B122,'Runner List'!$B$3:$O$505,12,FALSE),0)</f>
        <v>0</v>
      </c>
    </row>
    <row r="123" spans="1:9" ht="36" customHeight="1">
      <c r="A123" s="8">
        <v>120</v>
      </c>
      <c r="B123" s="49"/>
      <c r="C123" s="10">
        <f>IFERROR(VLOOKUP(B123,'Runner List'!$B$3:$OT$505,5,FALSE),0)</f>
        <v>0</v>
      </c>
      <c r="D123" s="8">
        <f>IFERROR(VLOOKUP(B123,'Runner List'!$B$3:$O$505,7,FALSE),0)</f>
        <v>0</v>
      </c>
      <c r="E123" s="8">
        <f>IFERROR(VLOOKUP(B123,'Runner List'!$B$3:$O$505,8,FALSE),0)</f>
        <v>0</v>
      </c>
      <c r="F123" s="8">
        <f>IFERROR(VLOOKUP(B123,'Runner List'!$B$3:$O$505,9,FALSE),0)</f>
        <v>0</v>
      </c>
      <c r="G123" s="8">
        <f>IFERROR(VLOOKUP(B123,'Runner List'!$B$3:$O$505,10,FALSE),0)</f>
        <v>0</v>
      </c>
      <c r="H123" s="52" t="str">
        <f t="shared" ca="1" si="2"/>
        <v/>
      </c>
      <c r="I123" s="76">
        <f>IFERROR(VLOOKUP(B123,'Runner List'!$B$3:$O$505,12,FALSE),0)</f>
        <v>0</v>
      </c>
    </row>
    <row r="124" spans="1:9" ht="36" customHeight="1">
      <c r="A124" s="8">
        <v>121</v>
      </c>
      <c r="B124" s="49"/>
      <c r="C124" s="10">
        <f>IFERROR(VLOOKUP(B124,'Runner List'!$B$3:$OT$505,5,FALSE),0)</f>
        <v>0</v>
      </c>
      <c r="D124" s="8">
        <f>IFERROR(VLOOKUP(B124,'Runner List'!$B$3:$O$505,7,FALSE),0)</f>
        <v>0</v>
      </c>
      <c r="E124" s="8">
        <f>IFERROR(VLOOKUP(B124,'Runner List'!$B$3:$O$505,8,FALSE),0)</f>
        <v>0</v>
      </c>
      <c r="F124" s="8">
        <f>IFERROR(VLOOKUP(B124,'Runner List'!$B$3:$O$505,9,FALSE),0)</f>
        <v>0</v>
      </c>
      <c r="G124" s="8">
        <f>IFERROR(VLOOKUP(B124,'Runner List'!$B$3:$O$505,10,FALSE),0)</f>
        <v>0</v>
      </c>
      <c r="H124" s="52" t="str">
        <f t="shared" ca="1" si="2"/>
        <v/>
      </c>
      <c r="I124" s="76">
        <f>IFERROR(VLOOKUP(B124,'Runner List'!$B$3:$O$505,12,FALSE),0)</f>
        <v>0</v>
      </c>
    </row>
    <row r="125" spans="1:9" ht="36" customHeight="1">
      <c r="A125" s="8">
        <v>122</v>
      </c>
      <c r="B125" s="49"/>
      <c r="C125" s="10">
        <f>IFERROR(VLOOKUP(B125,'Runner List'!$B$3:$OT$505,5,FALSE),0)</f>
        <v>0</v>
      </c>
      <c r="D125" s="8">
        <f>IFERROR(VLOOKUP(B125,'Runner List'!$B$3:$O$505,7,FALSE),0)</f>
        <v>0</v>
      </c>
      <c r="E125" s="8">
        <f>IFERROR(VLOOKUP(B125,'Runner List'!$B$3:$O$505,8,FALSE),0)</f>
        <v>0</v>
      </c>
      <c r="F125" s="8">
        <f>IFERROR(VLOOKUP(B125,'Runner List'!$B$3:$O$505,9,FALSE),0)</f>
        <v>0</v>
      </c>
      <c r="G125" s="8">
        <f>IFERROR(VLOOKUP(B125,'Runner List'!$B$3:$O$505,10,FALSE),0)</f>
        <v>0</v>
      </c>
      <c r="H125" s="52" t="str">
        <f t="shared" ca="1" si="2"/>
        <v/>
      </c>
      <c r="I125" s="76">
        <f>IFERROR(VLOOKUP(B125,'Runner List'!$B$3:$O$505,12,FALSE),0)</f>
        <v>0</v>
      </c>
    </row>
    <row r="126" spans="1:9" ht="36" customHeight="1">
      <c r="A126" s="8">
        <v>123</v>
      </c>
      <c r="B126" s="49"/>
      <c r="C126" s="10">
        <f>IFERROR(VLOOKUP(B126,'Runner List'!$B$3:$OT$505,5,FALSE),0)</f>
        <v>0</v>
      </c>
      <c r="D126" s="8">
        <f>IFERROR(VLOOKUP(B126,'Runner List'!$B$3:$O$505,7,FALSE),0)</f>
        <v>0</v>
      </c>
      <c r="E126" s="8">
        <f>IFERROR(VLOOKUP(B126,'Runner List'!$B$3:$O$505,8,FALSE),0)</f>
        <v>0</v>
      </c>
      <c r="F126" s="8">
        <f>IFERROR(VLOOKUP(B126,'Runner List'!$B$3:$O$505,9,FALSE),0)</f>
        <v>0</v>
      </c>
      <c r="G126" s="8">
        <f>IFERROR(VLOOKUP(B126,'Runner List'!$B$3:$O$505,10,FALSE),0)</f>
        <v>0</v>
      </c>
      <c r="H126" s="52" t="str">
        <f t="shared" ca="1" si="2"/>
        <v/>
      </c>
      <c r="I126" s="76">
        <f>IFERROR(VLOOKUP(B126,'Runner List'!$B$3:$O$505,12,FALSE),0)</f>
        <v>0</v>
      </c>
    </row>
    <row r="127" spans="1:9" ht="36" customHeight="1">
      <c r="A127" s="8">
        <v>124</v>
      </c>
      <c r="B127" s="49"/>
      <c r="C127" s="10">
        <f>IFERROR(VLOOKUP(B127,'Runner List'!$B$3:$OT$505,5,FALSE),0)</f>
        <v>0</v>
      </c>
      <c r="D127" s="8">
        <f>IFERROR(VLOOKUP(B127,'Runner List'!$B$3:$O$505,7,FALSE),0)</f>
        <v>0</v>
      </c>
      <c r="E127" s="8">
        <f>IFERROR(VLOOKUP(B127,'Runner List'!$B$3:$O$505,8,FALSE),0)</f>
        <v>0</v>
      </c>
      <c r="F127" s="8">
        <f>IFERROR(VLOOKUP(B127,'Runner List'!$B$3:$O$505,9,FALSE),0)</f>
        <v>0</v>
      </c>
      <c r="G127" s="8">
        <f>IFERROR(VLOOKUP(B127,'Runner List'!$B$3:$O$505,10,FALSE),0)</f>
        <v>0</v>
      </c>
      <c r="H127" s="52" t="str">
        <f t="shared" ca="1" si="2"/>
        <v/>
      </c>
      <c r="I127" s="76">
        <f>IFERROR(VLOOKUP(B127,'Runner List'!$B$3:$O$505,12,FALSE),0)</f>
        <v>0</v>
      </c>
    </row>
    <row r="128" spans="1:9" ht="36" customHeight="1">
      <c r="A128" s="8">
        <v>125</v>
      </c>
      <c r="B128" s="49"/>
      <c r="C128" s="10">
        <f>IFERROR(VLOOKUP(B128,'Runner List'!$B$3:$OT$505,5,FALSE),0)</f>
        <v>0</v>
      </c>
      <c r="D128" s="8">
        <f>IFERROR(VLOOKUP(B128,'Runner List'!$B$3:$O$505,7,FALSE),0)</f>
        <v>0</v>
      </c>
      <c r="E128" s="8">
        <f>IFERROR(VLOOKUP(B128,'Runner List'!$B$3:$O$505,8,FALSE),0)</f>
        <v>0</v>
      </c>
      <c r="F128" s="8">
        <f>IFERROR(VLOOKUP(B128,'Runner List'!$B$3:$O$505,9,FALSE),0)</f>
        <v>0</v>
      </c>
      <c r="G128" s="8">
        <f>IFERROR(VLOOKUP(B128,'Runner List'!$B$3:$O$505,10,FALSE),0)</f>
        <v>0</v>
      </c>
      <c r="H128" s="52" t="str">
        <f t="shared" ca="1" si="2"/>
        <v/>
      </c>
      <c r="I128" s="76">
        <f>IFERROR(VLOOKUP(B128,'Runner List'!$B$3:$O$505,12,FALSE),0)</f>
        <v>0</v>
      </c>
    </row>
    <row r="129" spans="1:9" ht="36" customHeight="1">
      <c r="A129" s="8">
        <v>126</v>
      </c>
      <c r="B129" s="49"/>
      <c r="C129" s="10">
        <f>IFERROR(VLOOKUP(B129,'Runner List'!$B$3:$OT$505,5,FALSE),0)</f>
        <v>0</v>
      </c>
      <c r="D129" s="8">
        <f>IFERROR(VLOOKUP(B129,'Runner List'!$B$3:$O$505,7,FALSE),0)</f>
        <v>0</v>
      </c>
      <c r="E129" s="8">
        <f>IFERROR(VLOOKUP(B129,'Runner List'!$B$3:$O$505,8,FALSE),0)</f>
        <v>0</v>
      </c>
      <c r="F129" s="8">
        <f>IFERROR(VLOOKUP(B129,'Runner List'!$B$3:$O$505,9,FALSE),0)</f>
        <v>0</v>
      </c>
      <c r="G129" s="8">
        <f>IFERROR(VLOOKUP(B129,'Runner List'!$B$3:$O$505,10,FALSE),0)</f>
        <v>0</v>
      </c>
      <c r="H129" s="52" t="str">
        <f t="shared" ca="1" si="2"/>
        <v/>
      </c>
      <c r="I129" s="76">
        <f>IFERROR(VLOOKUP(B129,'Runner List'!$B$3:$O$505,12,FALSE),0)</f>
        <v>0</v>
      </c>
    </row>
    <row r="130" spans="1:9" ht="36" customHeight="1">
      <c r="A130" s="8">
        <v>127</v>
      </c>
      <c r="B130" s="49"/>
      <c r="C130" s="10">
        <f>IFERROR(VLOOKUP(B130,'Runner List'!$B$3:$OT$505,5,FALSE),0)</f>
        <v>0</v>
      </c>
      <c r="D130" s="8">
        <f>IFERROR(VLOOKUP(B130,'Runner List'!$B$3:$O$505,7,FALSE),0)</f>
        <v>0</v>
      </c>
      <c r="E130" s="8">
        <f>IFERROR(VLOOKUP(B130,'Runner List'!$B$3:$O$505,8,FALSE),0)</f>
        <v>0</v>
      </c>
      <c r="F130" s="8">
        <f>IFERROR(VLOOKUP(B130,'Runner List'!$B$3:$O$505,9,FALSE),0)</f>
        <v>0</v>
      </c>
      <c r="G130" s="8">
        <f>IFERROR(VLOOKUP(B130,'Runner List'!$B$3:$O$505,10,FALSE),0)</f>
        <v>0</v>
      </c>
      <c r="H130" s="52" t="str">
        <f t="shared" ca="1" si="2"/>
        <v/>
      </c>
      <c r="I130" s="76">
        <f>IFERROR(VLOOKUP(B130,'Runner List'!$B$3:$O$505,12,FALSE),0)</f>
        <v>0</v>
      </c>
    </row>
    <row r="131" spans="1:9" ht="36" customHeight="1">
      <c r="A131" s="8">
        <v>128</v>
      </c>
      <c r="B131" s="49"/>
      <c r="C131" s="10">
        <f>IFERROR(VLOOKUP(B131,'Runner List'!$B$3:$OT$505,5,FALSE),0)</f>
        <v>0</v>
      </c>
      <c r="D131" s="8">
        <f>IFERROR(VLOOKUP(B131,'Runner List'!$B$3:$O$505,7,FALSE),0)</f>
        <v>0</v>
      </c>
      <c r="E131" s="8">
        <f>IFERROR(VLOOKUP(B131,'Runner List'!$B$3:$O$505,8,FALSE),0)</f>
        <v>0</v>
      </c>
      <c r="F131" s="8">
        <f>IFERROR(VLOOKUP(B131,'Runner List'!$B$3:$O$505,9,FALSE),0)</f>
        <v>0</v>
      </c>
      <c r="G131" s="8">
        <f>IFERROR(VLOOKUP(B131,'Runner List'!$B$3:$O$505,10,FALSE),0)</f>
        <v>0</v>
      </c>
      <c r="H131" s="52" t="str">
        <f t="shared" ca="1" si="2"/>
        <v/>
      </c>
      <c r="I131" s="76">
        <f>IFERROR(VLOOKUP(B131,'Runner List'!$B$3:$O$505,12,FALSE),0)</f>
        <v>0</v>
      </c>
    </row>
    <row r="132" spans="1:9" ht="36" customHeight="1">
      <c r="A132" s="8">
        <v>129</v>
      </c>
      <c r="B132" s="49"/>
      <c r="C132" s="10">
        <f>IFERROR(VLOOKUP(B132,'Runner List'!$B$3:$OT$505,5,FALSE),0)</f>
        <v>0</v>
      </c>
      <c r="D132" s="8">
        <f>IFERROR(VLOOKUP(B132,'Runner List'!$B$3:$O$505,7,FALSE),0)</f>
        <v>0</v>
      </c>
      <c r="E132" s="8">
        <f>IFERROR(VLOOKUP(B132,'Runner List'!$B$3:$O$505,8,FALSE),0)</f>
        <v>0</v>
      </c>
      <c r="F132" s="8">
        <f>IFERROR(VLOOKUP(B132,'Runner List'!$B$3:$O$505,9,FALSE),0)</f>
        <v>0</v>
      </c>
      <c r="G132" s="8">
        <f>IFERROR(VLOOKUP(B132,'Runner List'!$B$3:$O$505,10,FALSE),0)</f>
        <v>0</v>
      </c>
      <c r="H132" s="52" t="str">
        <f t="shared" ca="1" si="2"/>
        <v/>
      </c>
      <c r="I132" s="76">
        <f>IFERROR(VLOOKUP(B132,'Runner List'!$B$3:$O$505,12,FALSE),0)</f>
        <v>0</v>
      </c>
    </row>
    <row r="133" spans="1:9" ht="36" customHeight="1">
      <c r="A133" s="8">
        <v>130</v>
      </c>
      <c r="B133" s="49"/>
      <c r="C133" s="10">
        <f>IFERROR(VLOOKUP(B133,'Runner List'!$B$3:$OT$505,5,FALSE),0)</f>
        <v>0</v>
      </c>
      <c r="D133" s="8">
        <f>IFERROR(VLOOKUP(B133,'Runner List'!$B$3:$O$505,7,FALSE),0)</f>
        <v>0</v>
      </c>
      <c r="E133" s="8">
        <f>IFERROR(VLOOKUP(B133,'Runner List'!$B$3:$O$505,8,FALSE),0)</f>
        <v>0</v>
      </c>
      <c r="F133" s="8">
        <f>IFERROR(VLOOKUP(B133,'Runner List'!$B$3:$O$505,9,FALSE),0)</f>
        <v>0</v>
      </c>
      <c r="G133" s="8">
        <f>IFERROR(VLOOKUP(B133,'Runner List'!$B$3:$O$505,10,FALSE),0)</f>
        <v>0</v>
      </c>
      <c r="H133" s="52" t="str">
        <f t="shared" ref="H133:H134" ca="1" si="3">IF(B133="","",IF(H133="",NOW(),H133))</f>
        <v/>
      </c>
      <c r="I133" s="76">
        <f>IFERROR(VLOOKUP(B133,'Runner List'!$B$3:$O$505,12,FALSE),0)</f>
        <v>0</v>
      </c>
    </row>
    <row r="134" spans="1:9" ht="36" customHeight="1">
      <c r="A134" s="8">
        <v>131</v>
      </c>
      <c r="B134" s="49"/>
      <c r="C134" s="10">
        <f>IFERROR(VLOOKUP(B134,'Runner List'!$B$3:$OT$505,5,FALSE),0)</f>
        <v>0</v>
      </c>
      <c r="D134" s="8">
        <f>IFERROR(VLOOKUP(B134,'Runner List'!$B$3:$O$505,7,FALSE),0)</f>
        <v>0</v>
      </c>
      <c r="E134" s="8">
        <f>IFERROR(VLOOKUP(B134,'Runner List'!$B$3:$O$505,8,FALSE),0)</f>
        <v>0</v>
      </c>
      <c r="F134" s="8">
        <f>IFERROR(VLOOKUP(B134,'Runner List'!$B$3:$O$505,9,FALSE),0)</f>
        <v>0</v>
      </c>
      <c r="G134" s="8">
        <f>IFERROR(VLOOKUP(B134,'Runner List'!$B$3:$O$505,10,FALSE),0)</f>
        <v>0</v>
      </c>
      <c r="H134" s="52" t="str">
        <f t="shared" ca="1" si="3"/>
        <v/>
      </c>
      <c r="I134" s="76">
        <f>IFERROR(VLOOKUP(B134,'Runner List'!$B$3:$O$505,12,FALSE),0)</f>
        <v>0</v>
      </c>
    </row>
    <row r="135" spans="1:9" ht="36" customHeight="1">
      <c r="A135" s="8">
        <v>132</v>
      </c>
      <c r="B135" s="49"/>
      <c r="C135" s="10">
        <f>IFERROR(VLOOKUP(B135,'Runner List'!$B$3:$OT$505,5,FALSE),0)</f>
        <v>0</v>
      </c>
      <c r="D135" s="8">
        <f>IFERROR(VLOOKUP(B135,'Runner List'!$B$3:$O$505,7,FALSE),0)</f>
        <v>0</v>
      </c>
      <c r="E135" s="8">
        <f>IFERROR(VLOOKUP(B135,'Runner List'!$B$3:$O$505,8,FALSE),0)</f>
        <v>0</v>
      </c>
      <c r="F135" s="8">
        <f>IFERROR(VLOOKUP(B135,'Runner List'!$B$3:$O$505,9,FALSE),0)</f>
        <v>0</v>
      </c>
      <c r="G135" s="8">
        <f>IFERROR(VLOOKUP(B135,'Runner List'!$B$3:$O$505,10,FALSE),0)</f>
        <v>0</v>
      </c>
      <c r="H135" s="52" t="str">
        <f t="shared" ref="H135:H198" ca="1" si="4">IF(B135="","",IF(H135="",NOW(),H135))</f>
        <v/>
      </c>
      <c r="I135" s="76">
        <f>IFERROR(VLOOKUP(B135,'Runner List'!$B$3:$O$505,12,FALSE),0)</f>
        <v>0</v>
      </c>
    </row>
    <row r="136" spans="1:9" ht="36" customHeight="1">
      <c r="A136" s="8">
        <v>133</v>
      </c>
      <c r="B136" s="49"/>
      <c r="C136" s="10">
        <f>IFERROR(VLOOKUP(B136,'Runner List'!$B$3:$OT$505,5,FALSE),0)</f>
        <v>0</v>
      </c>
      <c r="D136" s="8">
        <f>IFERROR(VLOOKUP(B136,'Runner List'!$B$3:$O$505,7,FALSE),0)</f>
        <v>0</v>
      </c>
      <c r="E136" s="8">
        <f>IFERROR(VLOOKUP(B136,'Runner List'!$B$3:$O$505,8,FALSE),0)</f>
        <v>0</v>
      </c>
      <c r="F136" s="8">
        <f>IFERROR(VLOOKUP(B136,'Runner List'!$B$3:$O$505,9,FALSE),0)</f>
        <v>0</v>
      </c>
      <c r="G136" s="8">
        <f>IFERROR(VLOOKUP(B136,'Runner List'!$B$3:$O$505,10,FALSE),0)</f>
        <v>0</v>
      </c>
      <c r="H136" s="52" t="str">
        <f t="shared" ca="1" si="4"/>
        <v/>
      </c>
      <c r="I136" s="76">
        <f>IFERROR(VLOOKUP(B136,'Runner List'!$B$3:$O$505,12,FALSE),0)</f>
        <v>0</v>
      </c>
    </row>
    <row r="137" spans="1:9" ht="36" customHeight="1">
      <c r="A137" s="8">
        <v>134</v>
      </c>
      <c r="B137" s="49"/>
      <c r="C137" s="10">
        <f>IFERROR(VLOOKUP(B137,'Runner List'!$B$3:$OT$505,5,FALSE),0)</f>
        <v>0</v>
      </c>
      <c r="D137" s="8">
        <f>IFERROR(VLOOKUP(B137,'Runner List'!$B$3:$O$505,7,FALSE),0)</f>
        <v>0</v>
      </c>
      <c r="E137" s="8">
        <f>IFERROR(VLOOKUP(B137,'Runner List'!$B$3:$O$505,8,FALSE),0)</f>
        <v>0</v>
      </c>
      <c r="F137" s="8">
        <f>IFERROR(VLOOKUP(B137,'Runner List'!$B$3:$O$505,9,FALSE),0)</f>
        <v>0</v>
      </c>
      <c r="G137" s="8">
        <f>IFERROR(VLOOKUP(B137,'Runner List'!$B$3:$O$505,10,FALSE),0)</f>
        <v>0</v>
      </c>
      <c r="H137" s="52" t="str">
        <f t="shared" ca="1" si="4"/>
        <v/>
      </c>
      <c r="I137" s="76">
        <f>IFERROR(VLOOKUP(B137,'Runner List'!$B$3:$O$505,12,FALSE),0)</f>
        <v>0</v>
      </c>
    </row>
    <row r="138" spans="1:9" ht="36" customHeight="1">
      <c r="A138" s="8">
        <v>135</v>
      </c>
      <c r="B138" s="49"/>
      <c r="C138" s="10">
        <f>IFERROR(VLOOKUP(B138,'Runner List'!$B$3:$OT$505,5,FALSE),0)</f>
        <v>0</v>
      </c>
      <c r="D138" s="8">
        <f>IFERROR(VLOOKUP(B138,'Runner List'!$B$3:$O$505,7,FALSE),0)</f>
        <v>0</v>
      </c>
      <c r="E138" s="8">
        <f>IFERROR(VLOOKUP(B138,'Runner List'!$B$3:$O$505,8,FALSE),0)</f>
        <v>0</v>
      </c>
      <c r="F138" s="8">
        <f>IFERROR(VLOOKUP(B138,'Runner List'!$B$3:$O$505,9,FALSE),0)</f>
        <v>0</v>
      </c>
      <c r="G138" s="8">
        <f>IFERROR(VLOOKUP(B138,'Runner List'!$B$3:$O$505,10,FALSE),0)</f>
        <v>0</v>
      </c>
      <c r="H138" s="52" t="str">
        <f t="shared" ca="1" si="4"/>
        <v/>
      </c>
      <c r="I138" s="76">
        <f>IFERROR(VLOOKUP(B138,'Runner List'!$B$3:$O$505,12,FALSE),0)</f>
        <v>0</v>
      </c>
    </row>
    <row r="139" spans="1:9" ht="36" customHeight="1">
      <c r="A139" s="8">
        <v>136</v>
      </c>
      <c r="B139" s="49"/>
      <c r="C139" s="10">
        <f>IFERROR(VLOOKUP(B139,'Runner List'!$B$3:$OT$505,5,FALSE),0)</f>
        <v>0</v>
      </c>
      <c r="D139" s="8">
        <f>IFERROR(VLOOKUP(B139,'Runner List'!$B$3:$O$505,7,FALSE),0)</f>
        <v>0</v>
      </c>
      <c r="E139" s="8">
        <f>IFERROR(VLOOKUP(B139,'Runner List'!$B$3:$O$505,8,FALSE),0)</f>
        <v>0</v>
      </c>
      <c r="F139" s="8">
        <f>IFERROR(VLOOKUP(B139,'Runner List'!$B$3:$O$505,9,FALSE),0)</f>
        <v>0</v>
      </c>
      <c r="G139" s="8">
        <f>IFERROR(VLOOKUP(B139,'Runner List'!$B$3:$O$505,10,FALSE),0)</f>
        <v>0</v>
      </c>
      <c r="H139" s="52" t="str">
        <f t="shared" ca="1" si="4"/>
        <v/>
      </c>
      <c r="I139" s="76">
        <f>IFERROR(VLOOKUP(B139,'Runner List'!$B$3:$O$505,12,FALSE),0)</f>
        <v>0</v>
      </c>
    </row>
    <row r="140" spans="1:9" ht="36" customHeight="1">
      <c r="A140" s="8">
        <v>137</v>
      </c>
      <c r="B140" s="49"/>
      <c r="C140" s="10">
        <f>IFERROR(VLOOKUP(B140,'Runner List'!$B$3:$OT$505,5,FALSE),0)</f>
        <v>0</v>
      </c>
      <c r="D140" s="8">
        <f>IFERROR(VLOOKUP(B140,'Runner List'!$B$3:$O$505,7,FALSE),0)</f>
        <v>0</v>
      </c>
      <c r="E140" s="8">
        <f>IFERROR(VLOOKUP(B140,'Runner List'!$B$3:$O$505,8,FALSE),0)</f>
        <v>0</v>
      </c>
      <c r="F140" s="8">
        <f>IFERROR(VLOOKUP(B140,'Runner List'!$B$3:$O$505,9,FALSE),0)</f>
        <v>0</v>
      </c>
      <c r="G140" s="8">
        <f>IFERROR(VLOOKUP(B140,'Runner List'!$B$3:$O$505,10,FALSE),0)</f>
        <v>0</v>
      </c>
      <c r="H140" s="52" t="str">
        <f t="shared" ca="1" si="4"/>
        <v/>
      </c>
      <c r="I140" s="76">
        <f>IFERROR(VLOOKUP(B140,'Runner List'!$B$3:$O$505,12,FALSE),0)</f>
        <v>0</v>
      </c>
    </row>
    <row r="141" spans="1:9" ht="36" customHeight="1">
      <c r="A141" s="8">
        <v>138</v>
      </c>
      <c r="B141" s="49"/>
      <c r="C141" s="10">
        <f>IFERROR(VLOOKUP(B141,'Runner List'!$B$3:$OT$505,5,FALSE),0)</f>
        <v>0</v>
      </c>
      <c r="D141" s="8">
        <f>IFERROR(VLOOKUP(B141,'Runner List'!$B$3:$O$505,7,FALSE),0)</f>
        <v>0</v>
      </c>
      <c r="E141" s="8">
        <f>IFERROR(VLOOKUP(B141,'Runner List'!$B$3:$O$505,8,FALSE),0)</f>
        <v>0</v>
      </c>
      <c r="F141" s="8">
        <f>IFERROR(VLOOKUP(B141,'Runner List'!$B$3:$O$505,9,FALSE),0)</f>
        <v>0</v>
      </c>
      <c r="G141" s="8">
        <f>IFERROR(VLOOKUP(B141,'Runner List'!$B$3:$O$505,10,FALSE),0)</f>
        <v>0</v>
      </c>
      <c r="H141" s="52" t="str">
        <f t="shared" ca="1" si="4"/>
        <v/>
      </c>
      <c r="I141" s="76">
        <f>IFERROR(VLOOKUP(B141,'Runner List'!$B$3:$O$505,12,FALSE),0)</f>
        <v>0</v>
      </c>
    </row>
    <row r="142" spans="1:9" ht="36" customHeight="1">
      <c r="A142" s="8">
        <v>139</v>
      </c>
      <c r="B142" s="49"/>
      <c r="C142" s="10">
        <f>IFERROR(VLOOKUP(B142,'Runner List'!$B$3:$OT$505,5,FALSE),0)</f>
        <v>0</v>
      </c>
      <c r="D142" s="8">
        <f>IFERROR(VLOOKUP(B142,'Runner List'!$B$3:$O$505,7,FALSE),0)</f>
        <v>0</v>
      </c>
      <c r="E142" s="8">
        <f>IFERROR(VLOOKUP(B142,'Runner List'!$B$3:$O$505,8,FALSE),0)</f>
        <v>0</v>
      </c>
      <c r="F142" s="8">
        <f>IFERROR(VLOOKUP(B142,'Runner List'!$B$3:$O$505,9,FALSE),0)</f>
        <v>0</v>
      </c>
      <c r="G142" s="8">
        <f>IFERROR(VLOOKUP(B142,'Runner List'!$B$3:$O$505,10,FALSE),0)</f>
        <v>0</v>
      </c>
      <c r="H142" s="52" t="str">
        <f t="shared" ca="1" si="4"/>
        <v/>
      </c>
      <c r="I142" s="76">
        <f>IFERROR(VLOOKUP(B142,'Runner List'!$B$3:$O$505,12,FALSE),0)</f>
        <v>0</v>
      </c>
    </row>
    <row r="143" spans="1:9" ht="36" customHeight="1">
      <c r="A143" s="8">
        <v>140</v>
      </c>
      <c r="B143" s="49"/>
      <c r="C143" s="10">
        <f>IFERROR(VLOOKUP(B143,'Runner List'!$B$3:$OT$505,5,FALSE),0)</f>
        <v>0</v>
      </c>
      <c r="D143" s="8">
        <f>IFERROR(VLOOKUP(B143,'Runner List'!$B$3:$O$505,7,FALSE),0)</f>
        <v>0</v>
      </c>
      <c r="E143" s="8">
        <f>IFERROR(VLOOKUP(B143,'Runner List'!$B$3:$O$505,8,FALSE),0)</f>
        <v>0</v>
      </c>
      <c r="F143" s="8">
        <f>IFERROR(VLOOKUP(B143,'Runner List'!$B$3:$O$505,9,FALSE),0)</f>
        <v>0</v>
      </c>
      <c r="G143" s="8">
        <f>IFERROR(VLOOKUP(B143,'Runner List'!$B$3:$O$505,10,FALSE),0)</f>
        <v>0</v>
      </c>
      <c r="H143" s="52" t="str">
        <f t="shared" ca="1" si="4"/>
        <v/>
      </c>
      <c r="I143" s="76">
        <f>IFERROR(VLOOKUP(B143,'Runner List'!$B$3:$O$505,12,FALSE),0)</f>
        <v>0</v>
      </c>
    </row>
    <row r="144" spans="1:9" ht="36" customHeight="1">
      <c r="A144" s="8">
        <v>141</v>
      </c>
      <c r="B144" s="49"/>
      <c r="C144" s="10">
        <f>IFERROR(VLOOKUP(B144,'Runner List'!$B$3:$OT$505,5,FALSE),0)</f>
        <v>0</v>
      </c>
      <c r="D144" s="8">
        <f>IFERROR(VLOOKUP(B144,'Runner List'!$B$3:$O$505,7,FALSE),0)</f>
        <v>0</v>
      </c>
      <c r="E144" s="8">
        <f>IFERROR(VLOOKUP(B144,'Runner List'!$B$3:$O$505,8,FALSE),0)</f>
        <v>0</v>
      </c>
      <c r="F144" s="8">
        <f>IFERROR(VLOOKUP(B144,'Runner List'!$B$3:$O$505,9,FALSE),0)</f>
        <v>0</v>
      </c>
      <c r="G144" s="8">
        <f>IFERROR(VLOOKUP(B144,'Runner List'!$B$3:$O$505,10,FALSE),0)</f>
        <v>0</v>
      </c>
      <c r="H144" s="52" t="str">
        <f t="shared" ca="1" si="4"/>
        <v/>
      </c>
      <c r="I144" s="76">
        <f>IFERROR(VLOOKUP(B144,'Runner List'!$B$3:$O$505,12,FALSE),0)</f>
        <v>0</v>
      </c>
    </row>
    <row r="145" spans="1:9" ht="36" customHeight="1">
      <c r="A145" s="8">
        <v>142</v>
      </c>
      <c r="B145" s="49"/>
      <c r="C145" s="10">
        <f>IFERROR(VLOOKUP(B145,'Runner List'!$B$3:$OT$505,5,FALSE),0)</f>
        <v>0</v>
      </c>
      <c r="D145" s="8">
        <f>IFERROR(VLOOKUP(B145,'Runner List'!$B$3:$O$505,7,FALSE),0)</f>
        <v>0</v>
      </c>
      <c r="E145" s="8">
        <f>IFERROR(VLOOKUP(B145,'Runner List'!$B$3:$O$505,8,FALSE),0)</f>
        <v>0</v>
      </c>
      <c r="F145" s="8">
        <f>IFERROR(VLOOKUP(B145,'Runner List'!$B$3:$O$505,9,FALSE),0)</f>
        <v>0</v>
      </c>
      <c r="G145" s="8">
        <f>IFERROR(VLOOKUP(B145,'Runner List'!$B$3:$O$505,10,FALSE),0)</f>
        <v>0</v>
      </c>
      <c r="H145" s="52" t="str">
        <f t="shared" ca="1" si="4"/>
        <v/>
      </c>
      <c r="I145" s="76">
        <f>IFERROR(VLOOKUP(B145,'Runner List'!$B$3:$O$505,12,FALSE),0)</f>
        <v>0</v>
      </c>
    </row>
    <row r="146" spans="1:9" ht="36" customHeight="1">
      <c r="A146" s="8">
        <v>143</v>
      </c>
      <c r="B146" s="49"/>
      <c r="C146" s="10">
        <f>IFERROR(VLOOKUP(B146,'Runner List'!$B$3:$OT$505,5,FALSE),0)</f>
        <v>0</v>
      </c>
      <c r="D146" s="8">
        <f>IFERROR(VLOOKUP(B146,'Runner List'!$B$3:$O$505,7,FALSE),0)</f>
        <v>0</v>
      </c>
      <c r="E146" s="8">
        <f>IFERROR(VLOOKUP(B146,'Runner List'!$B$3:$O$505,8,FALSE),0)</f>
        <v>0</v>
      </c>
      <c r="F146" s="8">
        <f>IFERROR(VLOOKUP(B146,'Runner List'!$B$3:$O$505,9,FALSE),0)</f>
        <v>0</v>
      </c>
      <c r="G146" s="8">
        <f>IFERROR(VLOOKUP(B146,'Runner List'!$B$3:$O$505,10,FALSE),0)</f>
        <v>0</v>
      </c>
      <c r="H146" s="52" t="str">
        <f t="shared" ca="1" si="4"/>
        <v/>
      </c>
      <c r="I146" s="76">
        <f>IFERROR(VLOOKUP(B146,'Runner List'!$B$3:$O$505,12,FALSE),0)</f>
        <v>0</v>
      </c>
    </row>
    <row r="147" spans="1:9" ht="36" customHeight="1">
      <c r="A147" s="8">
        <v>144</v>
      </c>
      <c r="B147" s="49"/>
      <c r="C147" s="10">
        <f>IFERROR(VLOOKUP(B147,'Runner List'!$B$3:$OT$505,5,FALSE),0)</f>
        <v>0</v>
      </c>
      <c r="D147" s="8">
        <f>IFERROR(VLOOKUP(B147,'Runner List'!$B$3:$O$505,7,FALSE),0)</f>
        <v>0</v>
      </c>
      <c r="E147" s="8">
        <f>IFERROR(VLOOKUP(B147,'Runner List'!$B$3:$O$505,8,FALSE),0)</f>
        <v>0</v>
      </c>
      <c r="F147" s="8">
        <f>IFERROR(VLOOKUP(B147,'Runner List'!$B$3:$O$505,9,FALSE),0)</f>
        <v>0</v>
      </c>
      <c r="G147" s="8">
        <f>IFERROR(VLOOKUP(B147,'Runner List'!$B$3:$O$505,10,FALSE),0)</f>
        <v>0</v>
      </c>
      <c r="H147" s="52" t="str">
        <f t="shared" ca="1" si="4"/>
        <v/>
      </c>
      <c r="I147" s="76">
        <f>IFERROR(VLOOKUP(B147,'Runner List'!$B$3:$O$505,12,FALSE),0)</f>
        <v>0</v>
      </c>
    </row>
    <row r="148" spans="1:9" ht="36" customHeight="1">
      <c r="A148" s="8">
        <v>145</v>
      </c>
      <c r="B148" s="49"/>
      <c r="C148" s="10">
        <f>IFERROR(VLOOKUP(B148,'Runner List'!$B$3:$OT$505,5,FALSE),0)</f>
        <v>0</v>
      </c>
      <c r="D148" s="8">
        <f>IFERROR(VLOOKUP(B148,'Runner List'!$B$3:$O$505,7,FALSE),0)</f>
        <v>0</v>
      </c>
      <c r="E148" s="8">
        <f>IFERROR(VLOOKUP(B148,'Runner List'!$B$3:$O$505,8,FALSE),0)</f>
        <v>0</v>
      </c>
      <c r="F148" s="8">
        <f>IFERROR(VLOOKUP(B148,'Runner List'!$B$3:$O$505,9,FALSE),0)</f>
        <v>0</v>
      </c>
      <c r="G148" s="8">
        <f>IFERROR(VLOOKUP(B148,'Runner List'!$B$3:$O$505,10,FALSE),0)</f>
        <v>0</v>
      </c>
      <c r="H148" s="52" t="str">
        <f t="shared" ca="1" si="4"/>
        <v/>
      </c>
      <c r="I148" s="76">
        <f>IFERROR(VLOOKUP(B148,'Runner List'!$B$3:$O$505,12,FALSE),0)</f>
        <v>0</v>
      </c>
    </row>
    <row r="149" spans="1:9" ht="36" customHeight="1">
      <c r="A149" s="8">
        <v>146</v>
      </c>
      <c r="B149" s="49"/>
      <c r="C149" s="10">
        <f>IFERROR(VLOOKUP(B149,'Runner List'!$B$3:$OT$505,5,FALSE),0)</f>
        <v>0</v>
      </c>
      <c r="D149" s="8">
        <f>IFERROR(VLOOKUP(B149,'Runner List'!$B$3:$O$505,7,FALSE),0)</f>
        <v>0</v>
      </c>
      <c r="E149" s="8">
        <f>IFERROR(VLOOKUP(B149,'Runner List'!$B$3:$O$505,8,FALSE),0)</f>
        <v>0</v>
      </c>
      <c r="F149" s="8">
        <f>IFERROR(VLOOKUP(B149,'Runner List'!$B$3:$O$505,9,FALSE),0)</f>
        <v>0</v>
      </c>
      <c r="G149" s="8">
        <f>IFERROR(VLOOKUP(B149,'Runner List'!$B$3:$O$505,10,FALSE),0)</f>
        <v>0</v>
      </c>
      <c r="H149" s="52" t="str">
        <f t="shared" ca="1" si="4"/>
        <v/>
      </c>
      <c r="I149" s="76">
        <f>IFERROR(VLOOKUP(B149,'Runner List'!$B$3:$O$505,12,FALSE),0)</f>
        <v>0</v>
      </c>
    </row>
    <row r="150" spans="1:9" ht="36" customHeight="1">
      <c r="A150" s="8">
        <v>147</v>
      </c>
      <c r="B150" s="49"/>
      <c r="C150" s="10">
        <f>IFERROR(VLOOKUP(B150,'Runner List'!$B$3:$OT$505,5,FALSE),0)</f>
        <v>0</v>
      </c>
      <c r="D150" s="8">
        <f>IFERROR(VLOOKUP(B150,'Runner List'!$B$3:$O$505,7,FALSE),0)</f>
        <v>0</v>
      </c>
      <c r="E150" s="8">
        <f>IFERROR(VLOOKUP(B150,'Runner List'!$B$3:$O$505,8,FALSE),0)</f>
        <v>0</v>
      </c>
      <c r="F150" s="8">
        <f>IFERROR(VLOOKUP(B150,'Runner List'!$B$3:$O$505,9,FALSE),0)</f>
        <v>0</v>
      </c>
      <c r="G150" s="8">
        <f>IFERROR(VLOOKUP(B150,'Runner List'!$B$3:$O$505,10,FALSE),0)</f>
        <v>0</v>
      </c>
      <c r="H150" s="52" t="str">
        <f t="shared" ca="1" si="4"/>
        <v/>
      </c>
      <c r="I150" s="76">
        <f>IFERROR(VLOOKUP(B150,'Runner List'!$B$3:$O$505,12,FALSE),0)</f>
        <v>0</v>
      </c>
    </row>
    <row r="151" spans="1:9" ht="36" customHeight="1">
      <c r="A151" s="8">
        <v>148</v>
      </c>
      <c r="B151" s="49"/>
      <c r="C151" s="10">
        <f>IFERROR(VLOOKUP(B151,'Runner List'!$B$3:$OT$505,5,FALSE),0)</f>
        <v>0</v>
      </c>
      <c r="D151" s="8">
        <f>IFERROR(VLOOKUP(B151,'Runner List'!$B$3:$O$505,7,FALSE),0)</f>
        <v>0</v>
      </c>
      <c r="E151" s="8">
        <f>IFERROR(VLOOKUP(B151,'Runner List'!$B$3:$O$505,8,FALSE),0)</f>
        <v>0</v>
      </c>
      <c r="F151" s="8">
        <f>IFERROR(VLOOKUP(B151,'Runner List'!$B$3:$O$505,9,FALSE),0)</f>
        <v>0</v>
      </c>
      <c r="G151" s="8">
        <f>IFERROR(VLOOKUP(B151,'Runner List'!$B$3:$O$505,10,FALSE),0)</f>
        <v>0</v>
      </c>
      <c r="H151" s="52" t="str">
        <f t="shared" ca="1" si="4"/>
        <v/>
      </c>
      <c r="I151" s="76">
        <f>IFERROR(VLOOKUP(B151,'Runner List'!$B$3:$O$505,12,FALSE),0)</f>
        <v>0</v>
      </c>
    </row>
    <row r="152" spans="1:9" ht="36" customHeight="1">
      <c r="A152" s="8">
        <v>149</v>
      </c>
      <c r="B152" s="49"/>
      <c r="C152" s="10">
        <f>IFERROR(VLOOKUP(B152,'Runner List'!$B$3:$OT$505,5,FALSE),0)</f>
        <v>0</v>
      </c>
      <c r="D152" s="8">
        <f>IFERROR(VLOOKUP(B152,'Runner List'!$B$3:$O$505,7,FALSE),0)</f>
        <v>0</v>
      </c>
      <c r="E152" s="8">
        <f>IFERROR(VLOOKUP(B152,'Runner List'!$B$3:$O$505,8,FALSE),0)</f>
        <v>0</v>
      </c>
      <c r="F152" s="8">
        <f>IFERROR(VLOOKUP(B152,'Runner List'!$B$3:$O$505,9,FALSE),0)</f>
        <v>0</v>
      </c>
      <c r="G152" s="8">
        <f>IFERROR(VLOOKUP(B152,'Runner List'!$B$3:$O$505,10,FALSE),0)</f>
        <v>0</v>
      </c>
      <c r="H152" s="52" t="str">
        <f t="shared" ca="1" si="4"/>
        <v/>
      </c>
      <c r="I152" s="76">
        <f>IFERROR(VLOOKUP(B152,'Runner List'!$B$3:$O$505,12,FALSE),0)</f>
        <v>0</v>
      </c>
    </row>
    <row r="153" spans="1:9" ht="36" customHeight="1">
      <c r="A153" s="8">
        <v>150</v>
      </c>
      <c r="B153" s="49"/>
      <c r="C153" s="10">
        <f>IFERROR(VLOOKUP(B153,'Runner List'!$B$3:$OT$505,5,FALSE),0)</f>
        <v>0</v>
      </c>
      <c r="D153" s="8">
        <f>IFERROR(VLOOKUP(B153,'Runner List'!$B$3:$O$505,7,FALSE),0)</f>
        <v>0</v>
      </c>
      <c r="E153" s="8">
        <f>IFERROR(VLOOKUP(B153,'Runner List'!$B$3:$O$505,8,FALSE),0)</f>
        <v>0</v>
      </c>
      <c r="F153" s="8">
        <f>IFERROR(VLOOKUP(B153,'Runner List'!$B$3:$O$505,9,FALSE),0)</f>
        <v>0</v>
      </c>
      <c r="G153" s="8">
        <f>IFERROR(VLOOKUP(B153,'Runner List'!$B$3:$O$505,10,FALSE),0)</f>
        <v>0</v>
      </c>
      <c r="H153" s="52" t="str">
        <f t="shared" ca="1" si="4"/>
        <v/>
      </c>
      <c r="I153" s="76">
        <f>IFERROR(VLOOKUP(B153,'Runner List'!$B$3:$O$505,12,FALSE),0)</f>
        <v>0</v>
      </c>
    </row>
    <row r="154" spans="1:9" ht="36" customHeight="1">
      <c r="A154" s="8">
        <v>151</v>
      </c>
      <c r="B154" s="49"/>
      <c r="C154" s="10">
        <f>IFERROR(VLOOKUP(B154,'Runner List'!$B$3:$OT$505,5,FALSE),0)</f>
        <v>0</v>
      </c>
      <c r="D154" s="8">
        <f>IFERROR(VLOOKUP(B154,'Runner List'!$B$3:$O$505,7,FALSE),0)</f>
        <v>0</v>
      </c>
      <c r="E154" s="8">
        <f>IFERROR(VLOOKUP(B154,'Runner List'!$B$3:$O$505,8,FALSE),0)</f>
        <v>0</v>
      </c>
      <c r="F154" s="8">
        <f>IFERROR(VLOOKUP(B154,'Runner List'!$B$3:$O$505,9,FALSE),0)</f>
        <v>0</v>
      </c>
      <c r="G154" s="8">
        <f>IFERROR(VLOOKUP(B154,'Runner List'!$B$3:$O$505,10,FALSE),0)</f>
        <v>0</v>
      </c>
      <c r="H154" s="52" t="str">
        <f t="shared" ca="1" si="4"/>
        <v/>
      </c>
      <c r="I154" s="76">
        <f>IFERROR(VLOOKUP(B154,'Runner List'!$B$3:$O$505,12,FALSE),0)</f>
        <v>0</v>
      </c>
    </row>
    <row r="155" spans="1:9" ht="36" customHeight="1">
      <c r="A155" s="8">
        <v>152</v>
      </c>
      <c r="B155" s="49"/>
      <c r="C155" s="10">
        <f>IFERROR(VLOOKUP(B155,'Runner List'!$B$3:$OT$505,5,FALSE),0)</f>
        <v>0</v>
      </c>
      <c r="D155" s="8">
        <f>IFERROR(VLOOKUP(B155,'Runner List'!$B$3:$O$505,7,FALSE),0)</f>
        <v>0</v>
      </c>
      <c r="E155" s="8">
        <f>IFERROR(VLOOKUP(B155,'Runner List'!$B$3:$O$505,8,FALSE),0)</f>
        <v>0</v>
      </c>
      <c r="F155" s="8">
        <f>IFERROR(VLOOKUP(B155,'Runner List'!$B$3:$O$505,9,FALSE),0)</f>
        <v>0</v>
      </c>
      <c r="G155" s="8">
        <f>IFERROR(VLOOKUP(B155,'Runner List'!$B$3:$O$505,10,FALSE),0)</f>
        <v>0</v>
      </c>
      <c r="H155" s="52" t="str">
        <f t="shared" ca="1" si="4"/>
        <v/>
      </c>
      <c r="I155" s="76">
        <f>IFERROR(VLOOKUP(B155,'Runner List'!$B$3:$O$505,12,FALSE),0)</f>
        <v>0</v>
      </c>
    </row>
    <row r="156" spans="1:9" ht="36" customHeight="1">
      <c r="A156" s="8">
        <v>153</v>
      </c>
      <c r="B156" s="49"/>
      <c r="C156" s="10">
        <f>IFERROR(VLOOKUP(B156,'Runner List'!$B$3:$OT$505,5,FALSE),0)</f>
        <v>0</v>
      </c>
      <c r="D156" s="8">
        <f>IFERROR(VLOOKUP(B156,'Runner List'!$B$3:$O$505,7,FALSE),0)</f>
        <v>0</v>
      </c>
      <c r="E156" s="8">
        <f>IFERROR(VLOOKUP(B156,'Runner List'!$B$3:$O$505,8,FALSE),0)</f>
        <v>0</v>
      </c>
      <c r="F156" s="8">
        <f>IFERROR(VLOOKUP(B156,'Runner List'!$B$3:$O$505,9,FALSE),0)</f>
        <v>0</v>
      </c>
      <c r="G156" s="8">
        <f>IFERROR(VLOOKUP(B156,'Runner List'!$B$3:$O$505,10,FALSE),0)</f>
        <v>0</v>
      </c>
      <c r="H156" s="52" t="str">
        <f t="shared" ca="1" si="4"/>
        <v/>
      </c>
      <c r="I156" s="76">
        <f>IFERROR(VLOOKUP(B156,'Runner List'!$B$3:$O$505,12,FALSE),0)</f>
        <v>0</v>
      </c>
    </row>
    <row r="157" spans="1:9" ht="36" customHeight="1">
      <c r="A157" s="8">
        <v>154</v>
      </c>
      <c r="B157" s="49"/>
      <c r="C157" s="10">
        <f>IFERROR(VLOOKUP(B157,'Runner List'!$B$3:$OT$505,5,FALSE),0)</f>
        <v>0</v>
      </c>
      <c r="D157" s="8">
        <f>IFERROR(VLOOKUP(B157,'Runner List'!$B$3:$O$505,7,FALSE),0)</f>
        <v>0</v>
      </c>
      <c r="E157" s="8">
        <f>IFERROR(VLOOKUP(B157,'Runner List'!$B$3:$O$505,8,FALSE),0)</f>
        <v>0</v>
      </c>
      <c r="F157" s="8">
        <f>IFERROR(VLOOKUP(B157,'Runner List'!$B$3:$O$505,9,FALSE),0)</f>
        <v>0</v>
      </c>
      <c r="G157" s="8">
        <f>IFERROR(VLOOKUP(B157,'Runner List'!$B$3:$O$505,10,FALSE),0)</f>
        <v>0</v>
      </c>
      <c r="H157" s="52" t="str">
        <f t="shared" ca="1" si="4"/>
        <v/>
      </c>
      <c r="I157" s="76">
        <f>IFERROR(VLOOKUP(B157,'Runner List'!$B$3:$O$505,12,FALSE),0)</f>
        <v>0</v>
      </c>
    </row>
    <row r="158" spans="1:9" ht="36" customHeight="1">
      <c r="A158" s="8">
        <v>155</v>
      </c>
      <c r="B158" s="49"/>
      <c r="C158" s="10">
        <f>IFERROR(VLOOKUP(B158,'Runner List'!$B$3:$OT$505,5,FALSE),0)</f>
        <v>0</v>
      </c>
      <c r="D158" s="8">
        <f>IFERROR(VLOOKUP(B158,'Runner List'!$B$3:$O$505,7,FALSE),0)</f>
        <v>0</v>
      </c>
      <c r="E158" s="8">
        <f>IFERROR(VLOOKUP(B158,'Runner List'!$B$3:$O$505,8,FALSE),0)</f>
        <v>0</v>
      </c>
      <c r="F158" s="8">
        <f>IFERROR(VLOOKUP(B158,'Runner List'!$B$3:$O$505,9,FALSE),0)</f>
        <v>0</v>
      </c>
      <c r="G158" s="8">
        <f>IFERROR(VLOOKUP(B158,'Runner List'!$B$3:$O$505,10,FALSE),0)</f>
        <v>0</v>
      </c>
      <c r="H158" s="52" t="str">
        <f t="shared" ca="1" si="4"/>
        <v/>
      </c>
      <c r="I158" s="76">
        <f>IFERROR(VLOOKUP(B158,'Runner List'!$B$3:$O$505,12,FALSE),0)</f>
        <v>0</v>
      </c>
    </row>
    <row r="159" spans="1:9" ht="36" customHeight="1">
      <c r="A159" s="8">
        <v>156</v>
      </c>
      <c r="B159" s="49"/>
      <c r="C159" s="10">
        <f>IFERROR(VLOOKUP(B159,'Runner List'!$B$3:$OT$505,5,FALSE),0)</f>
        <v>0</v>
      </c>
      <c r="D159" s="8">
        <f>IFERROR(VLOOKUP(B159,'Runner List'!$B$3:$O$505,7,FALSE),0)</f>
        <v>0</v>
      </c>
      <c r="E159" s="8">
        <f>IFERROR(VLOOKUP(B159,'Runner List'!$B$3:$O$505,8,FALSE),0)</f>
        <v>0</v>
      </c>
      <c r="F159" s="8">
        <f>IFERROR(VLOOKUP(B159,'Runner List'!$B$3:$O$505,9,FALSE),0)</f>
        <v>0</v>
      </c>
      <c r="G159" s="8">
        <f>IFERROR(VLOOKUP(B159,'Runner List'!$B$3:$O$505,10,FALSE),0)</f>
        <v>0</v>
      </c>
      <c r="H159" s="52" t="str">
        <f t="shared" ca="1" si="4"/>
        <v/>
      </c>
      <c r="I159" s="76">
        <f>IFERROR(VLOOKUP(B159,'Runner List'!$B$3:$O$505,12,FALSE),0)</f>
        <v>0</v>
      </c>
    </row>
    <row r="160" spans="1:9" ht="36" customHeight="1">
      <c r="A160" s="8">
        <v>157</v>
      </c>
      <c r="B160" s="49"/>
      <c r="C160" s="10">
        <f>IFERROR(VLOOKUP(B160,'Runner List'!$B$3:$OT$505,5,FALSE),0)</f>
        <v>0</v>
      </c>
      <c r="D160" s="8">
        <f>IFERROR(VLOOKUP(B160,'Runner List'!$B$3:$O$505,7,FALSE),0)</f>
        <v>0</v>
      </c>
      <c r="E160" s="8">
        <f>IFERROR(VLOOKUP(B160,'Runner List'!$B$3:$O$505,8,FALSE),0)</f>
        <v>0</v>
      </c>
      <c r="F160" s="8">
        <f>IFERROR(VLOOKUP(B160,'Runner List'!$B$3:$O$505,9,FALSE),0)</f>
        <v>0</v>
      </c>
      <c r="G160" s="8">
        <f>IFERROR(VLOOKUP(B160,'Runner List'!$B$3:$O$505,10,FALSE),0)</f>
        <v>0</v>
      </c>
      <c r="H160" s="52" t="str">
        <f t="shared" ca="1" si="4"/>
        <v/>
      </c>
      <c r="I160" s="76">
        <f>IFERROR(VLOOKUP(B160,'Runner List'!$B$3:$O$505,12,FALSE),0)</f>
        <v>0</v>
      </c>
    </row>
    <row r="161" spans="1:9" ht="36" customHeight="1">
      <c r="A161" s="8">
        <v>158</v>
      </c>
      <c r="B161" s="49"/>
      <c r="C161" s="10">
        <f>IFERROR(VLOOKUP(B161,'Runner List'!$B$3:$OT$505,5,FALSE),0)</f>
        <v>0</v>
      </c>
      <c r="D161" s="8">
        <f>IFERROR(VLOOKUP(B161,'Runner List'!$B$3:$O$505,7,FALSE),0)</f>
        <v>0</v>
      </c>
      <c r="E161" s="8">
        <f>IFERROR(VLOOKUP(B161,'Runner List'!$B$3:$O$505,8,FALSE),0)</f>
        <v>0</v>
      </c>
      <c r="F161" s="8">
        <f>IFERROR(VLOOKUP(B161,'Runner List'!$B$3:$O$505,9,FALSE),0)</f>
        <v>0</v>
      </c>
      <c r="G161" s="8">
        <f>IFERROR(VLOOKUP(B161,'Runner List'!$B$3:$O$505,10,FALSE),0)</f>
        <v>0</v>
      </c>
      <c r="H161" s="52" t="str">
        <f t="shared" ca="1" si="4"/>
        <v/>
      </c>
      <c r="I161" s="76">
        <f>IFERROR(VLOOKUP(B161,'Runner List'!$B$3:$O$505,12,FALSE),0)</f>
        <v>0</v>
      </c>
    </row>
    <row r="162" spans="1:9" ht="36" customHeight="1">
      <c r="A162" s="8">
        <v>159</v>
      </c>
      <c r="B162" s="49"/>
      <c r="C162" s="10">
        <f>IFERROR(VLOOKUP(B162,'Runner List'!$B$3:$OT$505,5,FALSE),0)</f>
        <v>0</v>
      </c>
      <c r="D162" s="8">
        <f>IFERROR(VLOOKUP(B162,'Runner List'!$B$3:$O$505,7,FALSE),0)</f>
        <v>0</v>
      </c>
      <c r="E162" s="8">
        <f>IFERROR(VLOOKUP(B162,'Runner List'!$B$3:$O$505,8,FALSE),0)</f>
        <v>0</v>
      </c>
      <c r="F162" s="8">
        <f>IFERROR(VLOOKUP(B162,'Runner List'!$B$3:$O$505,9,FALSE),0)</f>
        <v>0</v>
      </c>
      <c r="G162" s="8">
        <f>IFERROR(VLOOKUP(B162,'Runner List'!$B$3:$O$505,10,FALSE),0)</f>
        <v>0</v>
      </c>
      <c r="H162" s="52" t="str">
        <f t="shared" ca="1" si="4"/>
        <v/>
      </c>
      <c r="I162" s="76">
        <f>IFERROR(VLOOKUP(B162,'Runner List'!$B$3:$O$505,12,FALSE),0)</f>
        <v>0</v>
      </c>
    </row>
    <row r="163" spans="1:9" ht="36" customHeight="1">
      <c r="A163" s="8">
        <v>160</v>
      </c>
      <c r="B163" s="49"/>
      <c r="C163" s="10">
        <f>IFERROR(VLOOKUP(B163,'Runner List'!$B$3:$OT$505,5,FALSE),0)</f>
        <v>0</v>
      </c>
      <c r="D163" s="8">
        <f>IFERROR(VLOOKUP(B163,'Runner List'!$B$3:$O$505,7,FALSE),0)</f>
        <v>0</v>
      </c>
      <c r="E163" s="8">
        <f>IFERROR(VLOOKUP(B163,'Runner List'!$B$3:$O$505,8,FALSE),0)</f>
        <v>0</v>
      </c>
      <c r="F163" s="8">
        <f>IFERROR(VLOOKUP(B163,'Runner List'!$B$3:$O$505,9,FALSE),0)</f>
        <v>0</v>
      </c>
      <c r="G163" s="8">
        <f>IFERROR(VLOOKUP(B163,'Runner List'!$B$3:$O$505,10,FALSE),0)</f>
        <v>0</v>
      </c>
      <c r="H163" s="52" t="str">
        <f t="shared" ca="1" si="4"/>
        <v/>
      </c>
      <c r="I163" s="76">
        <f>IFERROR(VLOOKUP(B163,'Runner List'!$B$3:$O$505,12,FALSE),0)</f>
        <v>0</v>
      </c>
    </row>
    <row r="164" spans="1:9" ht="36" customHeight="1">
      <c r="A164" s="8">
        <v>161</v>
      </c>
      <c r="B164" s="49"/>
      <c r="C164" s="10">
        <f>IFERROR(VLOOKUP(B164,'Runner List'!$B$3:$OT$505,5,FALSE),0)</f>
        <v>0</v>
      </c>
      <c r="D164" s="8">
        <f>IFERROR(VLOOKUP(B164,'Runner List'!$B$3:$O$505,7,FALSE),0)</f>
        <v>0</v>
      </c>
      <c r="E164" s="8">
        <f>IFERROR(VLOOKUP(B164,'Runner List'!$B$3:$O$505,8,FALSE),0)</f>
        <v>0</v>
      </c>
      <c r="F164" s="8">
        <f>IFERROR(VLOOKUP(B164,'Runner List'!$B$3:$O$505,9,FALSE),0)</f>
        <v>0</v>
      </c>
      <c r="G164" s="8">
        <f>IFERROR(VLOOKUP(B164,'Runner List'!$B$3:$O$505,10,FALSE),0)</f>
        <v>0</v>
      </c>
      <c r="H164" s="52" t="str">
        <f t="shared" ca="1" si="4"/>
        <v/>
      </c>
      <c r="I164" s="76">
        <f>IFERROR(VLOOKUP(B164,'Runner List'!$B$3:$O$505,12,FALSE),0)</f>
        <v>0</v>
      </c>
    </row>
    <row r="165" spans="1:9" ht="36" customHeight="1">
      <c r="A165" s="8">
        <v>162</v>
      </c>
      <c r="B165" s="49"/>
      <c r="C165" s="10">
        <f>IFERROR(VLOOKUP(B165,'Runner List'!$B$3:$OT$505,5,FALSE),0)</f>
        <v>0</v>
      </c>
      <c r="D165" s="8">
        <f>IFERROR(VLOOKUP(B165,'Runner List'!$B$3:$O$505,7,FALSE),0)</f>
        <v>0</v>
      </c>
      <c r="E165" s="8">
        <f>IFERROR(VLOOKUP(B165,'Runner List'!$B$3:$O$505,8,FALSE),0)</f>
        <v>0</v>
      </c>
      <c r="F165" s="8">
        <f>IFERROR(VLOOKUP(B165,'Runner List'!$B$3:$O$505,9,FALSE),0)</f>
        <v>0</v>
      </c>
      <c r="G165" s="8">
        <f>IFERROR(VLOOKUP(B165,'Runner List'!$B$3:$O$505,10,FALSE),0)</f>
        <v>0</v>
      </c>
      <c r="H165" s="52" t="str">
        <f t="shared" ca="1" si="4"/>
        <v/>
      </c>
      <c r="I165" s="76">
        <f>IFERROR(VLOOKUP(B165,'Runner List'!$B$3:$O$505,12,FALSE),0)</f>
        <v>0</v>
      </c>
    </row>
    <row r="166" spans="1:9" ht="36" customHeight="1">
      <c r="A166" s="8">
        <v>163</v>
      </c>
      <c r="B166" s="49"/>
      <c r="C166" s="10">
        <f>IFERROR(VLOOKUP(B166,'Runner List'!$B$3:$OT$505,5,FALSE),0)</f>
        <v>0</v>
      </c>
      <c r="D166" s="8">
        <f>IFERROR(VLOOKUP(B166,'Runner List'!$B$3:$O$505,7,FALSE),0)</f>
        <v>0</v>
      </c>
      <c r="E166" s="8">
        <f>IFERROR(VLOOKUP(B166,'Runner List'!$B$3:$O$505,8,FALSE),0)</f>
        <v>0</v>
      </c>
      <c r="F166" s="8">
        <f>IFERROR(VLOOKUP(B166,'Runner List'!$B$3:$O$505,9,FALSE),0)</f>
        <v>0</v>
      </c>
      <c r="G166" s="8">
        <f>IFERROR(VLOOKUP(B166,'Runner List'!$B$3:$O$505,10,FALSE),0)</f>
        <v>0</v>
      </c>
      <c r="H166" s="52" t="str">
        <f t="shared" ca="1" si="4"/>
        <v/>
      </c>
      <c r="I166" s="76">
        <f>IFERROR(VLOOKUP(B166,'Runner List'!$B$3:$O$505,12,FALSE),0)</f>
        <v>0</v>
      </c>
    </row>
    <row r="167" spans="1:9" ht="36" customHeight="1">
      <c r="A167" s="8">
        <v>164</v>
      </c>
      <c r="B167" s="49"/>
      <c r="C167" s="10">
        <f>IFERROR(VLOOKUP(B167,'Runner List'!$B$3:$OT$505,5,FALSE),0)</f>
        <v>0</v>
      </c>
      <c r="D167" s="8">
        <f>IFERROR(VLOOKUP(B167,'Runner List'!$B$3:$O$505,7,FALSE),0)</f>
        <v>0</v>
      </c>
      <c r="E167" s="8">
        <f>IFERROR(VLOOKUP(B167,'Runner List'!$B$3:$O$505,8,FALSE),0)</f>
        <v>0</v>
      </c>
      <c r="F167" s="8">
        <f>IFERROR(VLOOKUP(B167,'Runner List'!$B$3:$O$505,9,FALSE),0)</f>
        <v>0</v>
      </c>
      <c r="G167" s="8">
        <f>IFERROR(VLOOKUP(B167,'Runner List'!$B$3:$O$505,10,FALSE),0)</f>
        <v>0</v>
      </c>
      <c r="H167" s="52" t="str">
        <f t="shared" ca="1" si="4"/>
        <v/>
      </c>
      <c r="I167" s="76">
        <f>IFERROR(VLOOKUP(B167,'Runner List'!$B$3:$O$505,12,FALSE),0)</f>
        <v>0</v>
      </c>
    </row>
    <row r="168" spans="1:9" ht="36" customHeight="1">
      <c r="A168" s="8">
        <v>165</v>
      </c>
      <c r="B168" s="49"/>
      <c r="C168" s="10">
        <f>IFERROR(VLOOKUP(B168,'Runner List'!$B$3:$OT$505,5,FALSE),0)</f>
        <v>0</v>
      </c>
      <c r="D168" s="8">
        <f>IFERROR(VLOOKUP(B168,'Runner List'!$B$3:$O$505,7,FALSE),0)</f>
        <v>0</v>
      </c>
      <c r="E168" s="8">
        <f>IFERROR(VLOOKUP(B168,'Runner List'!$B$3:$O$505,8,FALSE),0)</f>
        <v>0</v>
      </c>
      <c r="F168" s="8">
        <f>IFERROR(VLOOKUP(B168,'Runner List'!$B$3:$O$505,9,FALSE),0)</f>
        <v>0</v>
      </c>
      <c r="G168" s="8">
        <f>IFERROR(VLOOKUP(B168,'Runner List'!$B$3:$O$505,10,FALSE),0)</f>
        <v>0</v>
      </c>
      <c r="H168" s="52" t="str">
        <f t="shared" ca="1" si="4"/>
        <v/>
      </c>
      <c r="I168" s="76">
        <f>IFERROR(VLOOKUP(B168,'Runner List'!$B$3:$O$505,12,FALSE),0)</f>
        <v>0</v>
      </c>
    </row>
    <row r="169" spans="1:9" ht="36" customHeight="1">
      <c r="A169" s="8">
        <v>166</v>
      </c>
      <c r="B169" s="49"/>
      <c r="C169" s="10">
        <f>IFERROR(VLOOKUP(B169,'Runner List'!$B$3:$OT$505,5,FALSE),0)</f>
        <v>0</v>
      </c>
      <c r="D169" s="8">
        <f>IFERROR(VLOOKUP(B169,'Runner List'!$B$3:$O$505,7,FALSE),0)</f>
        <v>0</v>
      </c>
      <c r="E169" s="8">
        <f>IFERROR(VLOOKUP(B169,'Runner List'!$B$3:$O$505,8,FALSE),0)</f>
        <v>0</v>
      </c>
      <c r="F169" s="8">
        <f>IFERROR(VLOOKUP(B169,'Runner List'!$B$3:$O$505,9,FALSE),0)</f>
        <v>0</v>
      </c>
      <c r="G169" s="8">
        <f>IFERROR(VLOOKUP(B169,'Runner List'!$B$3:$O$505,10,FALSE),0)</f>
        <v>0</v>
      </c>
      <c r="H169" s="52" t="str">
        <f t="shared" ca="1" si="4"/>
        <v/>
      </c>
      <c r="I169" s="76">
        <f>IFERROR(VLOOKUP(B169,'Runner List'!$B$3:$O$505,12,FALSE),0)</f>
        <v>0</v>
      </c>
    </row>
    <row r="170" spans="1:9" ht="36" customHeight="1">
      <c r="A170" s="8">
        <v>167</v>
      </c>
      <c r="B170" s="49"/>
      <c r="C170" s="10">
        <f>IFERROR(VLOOKUP(B170,'Runner List'!$B$3:$OT$505,5,FALSE),0)</f>
        <v>0</v>
      </c>
      <c r="D170" s="8">
        <f>IFERROR(VLOOKUP(B170,'Runner List'!$B$3:$O$505,7,FALSE),0)</f>
        <v>0</v>
      </c>
      <c r="E170" s="8">
        <f>IFERROR(VLOOKUP(B170,'Runner List'!$B$3:$O$505,8,FALSE),0)</f>
        <v>0</v>
      </c>
      <c r="F170" s="8">
        <f>IFERROR(VLOOKUP(B170,'Runner List'!$B$3:$O$505,9,FALSE),0)</f>
        <v>0</v>
      </c>
      <c r="G170" s="8">
        <f>IFERROR(VLOOKUP(B170,'Runner List'!$B$3:$O$505,10,FALSE),0)</f>
        <v>0</v>
      </c>
      <c r="H170" s="52" t="str">
        <f t="shared" ca="1" si="4"/>
        <v/>
      </c>
      <c r="I170" s="76">
        <f>IFERROR(VLOOKUP(B170,'Runner List'!$B$3:$O$505,12,FALSE),0)</f>
        <v>0</v>
      </c>
    </row>
    <row r="171" spans="1:9" ht="36" customHeight="1">
      <c r="A171" s="8">
        <v>168</v>
      </c>
      <c r="B171" s="49"/>
      <c r="C171" s="10">
        <f>IFERROR(VLOOKUP(B171,'Runner List'!$B$3:$OT$505,5,FALSE),0)</f>
        <v>0</v>
      </c>
      <c r="D171" s="8">
        <f>IFERROR(VLOOKUP(B171,'Runner List'!$B$3:$O$505,7,FALSE),0)</f>
        <v>0</v>
      </c>
      <c r="E171" s="8">
        <f>IFERROR(VLOOKUP(B171,'Runner List'!$B$3:$O$505,8,FALSE),0)</f>
        <v>0</v>
      </c>
      <c r="F171" s="8">
        <f>IFERROR(VLOOKUP(B171,'Runner List'!$B$3:$O$505,9,FALSE),0)</f>
        <v>0</v>
      </c>
      <c r="G171" s="8">
        <f>IFERROR(VLOOKUP(B171,'Runner List'!$B$3:$O$505,10,FALSE),0)</f>
        <v>0</v>
      </c>
      <c r="H171" s="52" t="str">
        <f t="shared" ca="1" si="4"/>
        <v/>
      </c>
      <c r="I171" s="76">
        <f>IFERROR(VLOOKUP(B171,'Runner List'!$B$3:$O$505,12,FALSE),0)</f>
        <v>0</v>
      </c>
    </row>
    <row r="172" spans="1:9" ht="36" customHeight="1">
      <c r="A172" s="8">
        <v>169</v>
      </c>
      <c r="B172" s="49"/>
      <c r="C172" s="10">
        <f>IFERROR(VLOOKUP(B172,'Runner List'!$B$3:$OT$505,5,FALSE),0)</f>
        <v>0</v>
      </c>
      <c r="D172" s="8">
        <f>IFERROR(VLOOKUP(B172,'Runner List'!$B$3:$O$505,7,FALSE),0)</f>
        <v>0</v>
      </c>
      <c r="E172" s="8">
        <f>IFERROR(VLOOKUP(B172,'Runner List'!$B$3:$O$505,8,FALSE),0)</f>
        <v>0</v>
      </c>
      <c r="F172" s="8">
        <f>IFERROR(VLOOKUP(B172,'Runner List'!$B$3:$O$505,9,FALSE),0)</f>
        <v>0</v>
      </c>
      <c r="G172" s="8">
        <f>IFERROR(VLOOKUP(B172,'Runner List'!$B$3:$O$505,10,FALSE),0)</f>
        <v>0</v>
      </c>
      <c r="H172" s="52" t="str">
        <f t="shared" ca="1" si="4"/>
        <v/>
      </c>
      <c r="I172" s="76">
        <f>IFERROR(VLOOKUP(B172,'Runner List'!$B$3:$O$505,12,FALSE),0)</f>
        <v>0</v>
      </c>
    </row>
    <row r="173" spans="1:9" ht="36" customHeight="1">
      <c r="A173" s="8">
        <v>170</v>
      </c>
      <c r="B173" s="49"/>
      <c r="C173" s="10">
        <f>IFERROR(VLOOKUP(B173,'Runner List'!$B$3:$OT$505,5,FALSE),0)</f>
        <v>0</v>
      </c>
      <c r="D173" s="8">
        <f>IFERROR(VLOOKUP(B173,'Runner List'!$B$3:$O$505,7,FALSE),0)</f>
        <v>0</v>
      </c>
      <c r="E173" s="8">
        <f>IFERROR(VLOOKUP(B173,'Runner List'!$B$3:$O$505,8,FALSE),0)</f>
        <v>0</v>
      </c>
      <c r="F173" s="8">
        <f>IFERROR(VLOOKUP(B173,'Runner List'!$B$3:$O$505,9,FALSE),0)</f>
        <v>0</v>
      </c>
      <c r="G173" s="8">
        <f>IFERROR(VLOOKUP(B173,'Runner List'!$B$3:$O$505,10,FALSE),0)</f>
        <v>0</v>
      </c>
      <c r="H173" s="52" t="str">
        <f t="shared" ca="1" si="4"/>
        <v/>
      </c>
      <c r="I173" s="76">
        <f>IFERROR(VLOOKUP(B173,'Runner List'!$B$3:$O$505,12,FALSE),0)</f>
        <v>0</v>
      </c>
    </row>
    <row r="174" spans="1:9" ht="36" customHeight="1">
      <c r="A174" s="8">
        <v>171</v>
      </c>
      <c r="B174" s="49"/>
      <c r="C174" s="10">
        <f>IFERROR(VLOOKUP(B174,'Runner List'!$B$3:$OT$505,5,FALSE),0)</f>
        <v>0</v>
      </c>
      <c r="D174" s="8">
        <f>IFERROR(VLOOKUP(B174,'Runner List'!$B$3:$O$505,7,FALSE),0)</f>
        <v>0</v>
      </c>
      <c r="E174" s="8">
        <f>IFERROR(VLOOKUP(B174,'Runner List'!$B$3:$O$505,8,FALSE),0)</f>
        <v>0</v>
      </c>
      <c r="F174" s="8">
        <f>IFERROR(VLOOKUP(B174,'Runner List'!$B$3:$O$505,9,FALSE),0)</f>
        <v>0</v>
      </c>
      <c r="G174" s="8">
        <f>IFERROR(VLOOKUP(B174,'Runner List'!$B$3:$O$505,10,FALSE),0)</f>
        <v>0</v>
      </c>
      <c r="H174" s="52" t="str">
        <f t="shared" ca="1" si="4"/>
        <v/>
      </c>
      <c r="I174" s="76">
        <f>IFERROR(VLOOKUP(B174,'Runner List'!$B$3:$O$505,12,FALSE),0)</f>
        <v>0</v>
      </c>
    </row>
    <row r="175" spans="1:9" ht="36" customHeight="1">
      <c r="A175" s="8">
        <v>172</v>
      </c>
      <c r="B175" s="49"/>
      <c r="C175" s="10">
        <f>IFERROR(VLOOKUP(B175,'Runner List'!$B$3:$OT$505,5,FALSE),0)</f>
        <v>0</v>
      </c>
      <c r="D175" s="8">
        <f>IFERROR(VLOOKUP(B175,'Runner List'!$B$3:$O$505,7,FALSE),0)</f>
        <v>0</v>
      </c>
      <c r="E175" s="8">
        <f>IFERROR(VLOOKUP(B175,'Runner List'!$B$3:$O$505,8,FALSE),0)</f>
        <v>0</v>
      </c>
      <c r="F175" s="8">
        <f>IFERROR(VLOOKUP(B175,'Runner List'!$B$3:$O$505,9,FALSE),0)</f>
        <v>0</v>
      </c>
      <c r="G175" s="8">
        <f>IFERROR(VLOOKUP(B175,'Runner List'!$B$3:$O$505,10,FALSE),0)</f>
        <v>0</v>
      </c>
      <c r="H175" s="52" t="str">
        <f t="shared" ca="1" si="4"/>
        <v/>
      </c>
      <c r="I175" s="76">
        <f>IFERROR(VLOOKUP(B175,'Runner List'!$B$3:$O$505,12,FALSE),0)</f>
        <v>0</v>
      </c>
    </row>
    <row r="176" spans="1:9" ht="36" customHeight="1">
      <c r="A176" s="8">
        <v>173</v>
      </c>
      <c r="B176" s="49"/>
      <c r="C176" s="10">
        <f>IFERROR(VLOOKUP(B176,'Runner List'!$B$3:$OT$505,5,FALSE),0)</f>
        <v>0</v>
      </c>
      <c r="D176" s="8">
        <f>IFERROR(VLOOKUP(B176,'Runner List'!$B$3:$O$505,7,FALSE),0)</f>
        <v>0</v>
      </c>
      <c r="E176" s="8">
        <f>IFERROR(VLOOKUP(B176,'Runner List'!$B$3:$O$505,8,FALSE),0)</f>
        <v>0</v>
      </c>
      <c r="F176" s="8">
        <f>IFERROR(VLOOKUP(B176,'Runner List'!$B$3:$O$505,9,FALSE),0)</f>
        <v>0</v>
      </c>
      <c r="G176" s="8">
        <f>IFERROR(VLOOKUP(B176,'Runner List'!$B$3:$O$505,10,FALSE),0)</f>
        <v>0</v>
      </c>
      <c r="H176" s="52" t="str">
        <f t="shared" ca="1" si="4"/>
        <v/>
      </c>
      <c r="I176" s="76">
        <f>IFERROR(VLOOKUP(B176,'Runner List'!$B$3:$O$505,12,FALSE),0)</f>
        <v>0</v>
      </c>
    </row>
    <row r="177" spans="1:9" ht="36" customHeight="1">
      <c r="A177" s="8">
        <v>174</v>
      </c>
      <c r="B177" s="49"/>
      <c r="C177" s="10">
        <f>IFERROR(VLOOKUP(B177,'Runner List'!$B$3:$OT$505,5,FALSE),0)</f>
        <v>0</v>
      </c>
      <c r="D177" s="8">
        <f>IFERROR(VLOOKUP(B177,'Runner List'!$B$3:$O$505,7,FALSE),0)</f>
        <v>0</v>
      </c>
      <c r="E177" s="8">
        <f>IFERROR(VLOOKUP(B177,'Runner List'!$B$3:$O$505,8,FALSE),0)</f>
        <v>0</v>
      </c>
      <c r="F177" s="8">
        <f>IFERROR(VLOOKUP(B177,'Runner List'!$B$3:$O$505,9,FALSE),0)</f>
        <v>0</v>
      </c>
      <c r="G177" s="8">
        <f>IFERROR(VLOOKUP(B177,'Runner List'!$B$3:$O$505,10,FALSE),0)</f>
        <v>0</v>
      </c>
      <c r="H177" s="52" t="str">
        <f t="shared" ca="1" si="4"/>
        <v/>
      </c>
      <c r="I177" s="76">
        <f>IFERROR(VLOOKUP(B177,'Runner List'!$B$3:$O$505,12,FALSE),0)</f>
        <v>0</v>
      </c>
    </row>
    <row r="178" spans="1:9" ht="36" customHeight="1">
      <c r="A178" s="8">
        <v>175</v>
      </c>
      <c r="B178" s="49"/>
      <c r="C178" s="10">
        <f>IFERROR(VLOOKUP(B178,'Runner List'!$B$3:$OT$505,5,FALSE),0)</f>
        <v>0</v>
      </c>
      <c r="D178" s="8">
        <f>IFERROR(VLOOKUP(B178,'Runner List'!$B$3:$O$505,7,FALSE),0)</f>
        <v>0</v>
      </c>
      <c r="E178" s="8">
        <f>IFERROR(VLOOKUP(B178,'Runner List'!$B$3:$O$505,8,FALSE),0)</f>
        <v>0</v>
      </c>
      <c r="F178" s="8">
        <f>IFERROR(VLOOKUP(B178,'Runner List'!$B$3:$O$505,9,FALSE),0)</f>
        <v>0</v>
      </c>
      <c r="G178" s="8">
        <f>IFERROR(VLOOKUP(B178,'Runner List'!$B$3:$O$505,10,FALSE),0)</f>
        <v>0</v>
      </c>
      <c r="H178" s="52" t="str">
        <f t="shared" ca="1" si="4"/>
        <v/>
      </c>
      <c r="I178" s="76">
        <f>IFERROR(VLOOKUP(B178,'Runner List'!$B$3:$O$505,12,FALSE),0)</f>
        <v>0</v>
      </c>
    </row>
    <row r="179" spans="1:9" ht="36" customHeight="1">
      <c r="A179" s="8">
        <v>176</v>
      </c>
      <c r="B179" s="49"/>
      <c r="C179" s="10">
        <f>IFERROR(VLOOKUP(B179,'Runner List'!$B$3:$OT$505,5,FALSE),0)</f>
        <v>0</v>
      </c>
      <c r="D179" s="8">
        <f>IFERROR(VLOOKUP(B179,'Runner List'!$B$3:$O$505,7,FALSE),0)</f>
        <v>0</v>
      </c>
      <c r="E179" s="8">
        <f>IFERROR(VLOOKUP(B179,'Runner List'!$B$3:$O$505,8,FALSE),0)</f>
        <v>0</v>
      </c>
      <c r="F179" s="8">
        <f>IFERROR(VLOOKUP(B179,'Runner List'!$B$3:$O$505,9,FALSE),0)</f>
        <v>0</v>
      </c>
      <c r="G179" s="8">
        <f>IFERROR(VLOOKUP(B179,'Runner List'!$B$3:$O$505,10,FALSE),0)</f>
        <v>0</v>
      </c>
      <c r="H179" s="52" t="str">
        <f t="shared" ca="1" si="4"/>
        <v/>
      </c>
      <c r="I179" s="76">
        <f>IFERROR(VLOOKUP(B179,'Runner List'!$B$3:$O$505,12,FALSE),0)</f>
        <v>0</v>
      </c>
    </row>
    <row r="180" spans="1:9" ht="36" customHeight="1">
      <c r="A180" s="8">
        <v>177</v>
      </c>
      <c r="B180" s="49"/>
      <c r="C180" s="10">
        <f>IFERROR(VLOOKUP(B180,'Runner List'!$B$3:$OT$505,5,FALSE),0)</f>
        <v>0</v>
      </c>
      <c r="D180" s="8">
        <f>IFERROR(VLOOKUP(B180,'Runner List'!$B$3:$O$505,7,FALSE),0)</f>
        <v>0</v>
      </c>
      <c r="E180" s="8">
        <f>IFERROR(VLOOKUP(B180,'Runner List'!$B$3:$O$505,8,FALSE),0)</f>
        <v>0</v>
      </c>
      <c r="F180" s="8">
        <f>IFERROR(VLOOKUP(B180,'Runner List'!$B$3:$O$505,9,FALSE),0)</f>
        <v>0</v>
      </c>
      <c r="G180" s="8">
        <f>IFERROR(VLOOKUP(B180,'Runner List'!$B$3:$O$505,10,FALSE),0)</f>
        <v>0</v>
      </c>
      <c r="H180" s="52" t="str">
        <f t="shared" ca="1" si="4"/>
        <v/>
      </c>
      <c r="I180" s="76">
        <f>IFERROR(VLOOKUP(B180,'Runner List'!$B$3:$O$505,12,FALSE),0)</f>
        <v>0</v>
      </c>
    </row>
    <row r="181" spans="1:9" ht="36" customHeight="1">
      <c r="A181" s="8">
        <v>178</v>
      </c>
      <c r="B181" s="49"/>
      <c r="C181" s="10">
        <f>IFERROR(VLOOKUP(B181,'Runner List'!$B$3:$OT$505,5,FALSE),0)</f>
        <v>0</v>
      </c>
      <c r="D181" s="8">
        <f>IFERROR(VLOOKUP(B181,'Runner List'!$B$3:$O$505,7,FALSE),0)</f>
        <v>0</v>
      </c>
      <c r="E181" s="8">
        <f>IFERROR(VLOOKUP(B181,'Runner List'!$B$3:$O$505,8,FALSE),0)</f>
        <v>0</v>
      </c>
      <c r="F181" s="8">
        <f>IFERROR(VLOOKUP(B181,'Runner List'!$B$3:$O$505,9,FALSE),0)</f>
        <v>0</v>
      </c>
      <c r="G181" s="8">
        <f>IFERROR(VLOOKUP(B181,'Runner List'!$B$3:$O$505,10,FALSE),0)</f>
        <v>0</v>
      </c>
      <c r="H181" s="52" t="str">
        <f t="shared" ca="1" si="4"/>
        <v/>
      </c>
      <c r="I181" s="76">
        <f>IFERROR(VLOOKUP(B181,'Runner List'!$B$3:$O$505,12,FALSE),0)</f>
        <v>0</v>
      </c>
    </row>
    <row r="182" spans="1:9" ht="36" customHeight="1">
      <c r="A182" s="8">
        <v>179</v>
      </c>
      <c r="B182" s="49"/>
      <c r="C182" s="10">
        <f>IFERROR(VLOOKUP(B182,'Runner List'!$B$3:$OT$505,5,FALSE),0)</f>
        <v>0</v>
      </c>
      <c r="D182" s="8">
        <f>IFERROR(VLOOKUP(B182,'Runner List'!$B$3:$O$505,7,FALSE),0)</f>
        <v>0</v>
      </c>
      <c r="E182" s="8">
        <f>IFERROR(VLOOKUP(B182,'Runner List'!$B$3:$O$505,8,FALSE),0)</f>
        <v>0</v>
      </c>
      <c r="F182" s="8">
        <f>IFERROR(VLOOKUP(B182,'Runner List'!$B$3:$O$505,9,FALSE),0)</f>
        <v>0</v>
      </c>
      <c r="G182" s="8">
        <f>IFERROR(VLOOKUP(B182,'Runner List'!$B$3:$O$505,10,FALSE),0)</f>
        <v>0</v>
      </c>
      <c r="H182" s="52" t="str">
        <f t="shared" ca="1" si="4"/>
        <v/>
      </c>
      <c r="I182" s="76">
        <f>IFERROR(VLOOKUP(B182,'Runner List'!$B$3:$O$505,12,FALSE),0)</f>
        <v>0</v>
      </c>
    </row>
    <row r="183" spans="1:9" ht="36" customHeight="1">
      <c r="A183" s="8">
        <v>180</v>
      </c>
      <c r="B183" s="49"/>
      <c r="C183" s="10">
        <f>IFERROR(VLOOKUP(B183,'Runner List'!$B$3:$OT$505,5,FALSE),0)</f>
        <v>0</v>
      </c>
      <c r="D183" s="8">
        <f>IFERROR(VLOOKUP(B183,'Runner List'!$B$3:$O$505,7,FALSE),0)</f>
        <v>0</v>
      </c>
      <c r="E183" s="8">
        <f>IFERROR(VLOOKUP(B183,'Runner List'!$B$3:$O$505,8,FALSE),0)</f>
        <v>0</v>
      </c>
      <c r="F183" s="8">
        <f>IFERROR(VLOOKUP(B183,'Runner List'!$B$3:$O$505,9,FALSE),0)</f>
        <v>0</v>
      </c>
      <c r="G183" s="8">
        <f>IFERROR(VLOOKUP(B183,'Runner List'!$B$3:$O$505,10,FALSE),0)</f>
        <v>0</v>
      </c>
      <c r="H183" s="52" t="str">
        <f t="shared" ca="1" si="4"/>
        <v/>
      </c>
      <c r="I183" s="76">
        <f>IFERROR(VLOOKUP(B183,'Runner List'!$B$3:$O$505,12,FALSE),0)</f>
        <v>0</v>
      </c>
    </row>
    <row r="184" spans="1:9" ht="36" customHeight="1">
      <c r="A184" s="8">
        <v>181</v>
      </c>
      <c r="B184" s="49"/>
      <c r="C184" s="10">
        <f>IFERROR(VLOOKUP(B184,'Runner List'!$B$3:$OT$505,5,FALSE),0)</f>
        <v>0</v>
      </c>
      <c r="D184" s="8">
        <f>IFERROR(VLOOKUP(B184,'Runner List'!$B$3:$O$505,7,FALSE),0)</f>
        <v>0</v>
      </c>
      <c r="E184" s="8">
        <f>IFERROR(VLOOKUP(B184,'Runner List'!$B$3:$O$505,8,FALSE),0)</f>
        <v>0</v>
      </c>
      <c r="F184" s="8">
        <f>IFERROR(VLOOKUP(B184,'Runner List'!$B$3:$O$505,9,FALSE),0)</f>
        <v>0</v>
      </c>
      <c r="G184" s="8">
        <f>IFERROR(VLOOKUP(B184,'Runner List'!$B$3:$O$505,10,FALSE),0)</f>
        <v>0</v>
      </c>
      <c r="H184" s="52" t="str">
        <f t="shared" ca="1" si="4"/>
        <v/>
      </c>
      <c r="I184" s="76">
        <f>IFERROR(VLOOKUP(B184,'Runner List'!$B$3:$O$505,12,FALSE),0)</f>
        <v>0</v>
      </c>
    </row>
    <row r="185" spans="1:9" ht="36" customHeight="1">
      <c r="A185" s="8">
        <v>182</v>
      </c>
      <c r="B185" s="49"/>
      <c r="C185" s="10">
        <f>IFERROR(VLOOKUP(B185,'Runner List'!$B$3:$OT$505,5,FALSE),0)</f>
        <v>0</v>
      </c>
      <c r="D185" s="8">
        <f>IFERROR(VLOOKUP(B185,'Runner List'!$B$3:$O$505,7,FALSE),0)</f>
        <v>0</v>
      </c>
      <c r="E185" s="8">
        <f>IFERROR(VLOOKUP(B185,'Runner List'!$B$3:$O$505,8,FALSE),0)</f>
        <v>0</v>
      </c>
      <c r="F185" s="8">
        <f>IFERROR(VLOOKUP(B185,'Runner List'!$B$3:$O$505,9,FALSE),0)</f>
        <v>0</v>
      </c>
      <c r="G185" s="8">
        <f>IFERROR(VLOOKUP(B185,'Runner List'!$B$3:$O$505,10,FALSE),0)</f>
        <v>0</v>
      </c>
      <c r="H185" s="52" t="str">
        <f t="shared" ca="1" si="4"/>
        <v/>
      </c>
      <c r="I185" s="76">
        <f>IFERROR(VLOOKUP(B185,'Runner List'!$B$3:$O$505,12,FALSE),0)</f>
        <v>0</v>
      </c>
    </row>
    <row r="186" spans="1:9" ht="36" customHeight="1">
      <c r="A186" s="8">
        <v>183</v>
      </c>
      <c r="B186" s="49"/>
      <c r="C186" s="10">
        <f>IFERROR(VLOOKUP(B186,'Runner List'!$B$3:$OT$505,5,FALSE),0)</f>
        <v>0</v>
      </c>
      <c r="D186" s="8">
        <f>IFERROR(VLOOKUP(B186,'Runner List'!$B$3:$O$505,7,FALSE),0)</f>
        <v>0</v>
      </c>
      <c r="E186" s="8">
        <f>IFERROR(VLOOKUP(B186,'Runner List'!$B$3:$O$505,8,FALSE),0)</f>
        <v>0</v>
      </c>
      <c r="F186" s="8">
        <f>IFERROR(VLOOKUP(B186,'Runner List'!$B$3:$O$505,9,FALSE),0)</f>
        <v>0</v>
      </c>
      <c r="G186" s="8">
        <f>IFERROR(VLOOKUP(B186,'Runner List'!$B$3:$O$505,10,FALSE),0)</f>
        <v>0</v>
      </c>
      <c r="H186" s="52" t="str">
        <f t="shared" ca="1" si="4"/>
        <v/>
      </c>
      <c r="I186" s="76">
        <f>IFERROR(VLOOKUP(B186,'Runner List'!$B$3:$O$505,12,FALSE),0)</f>
        <v>0</v>
      </c>
    </row>
    <row r="187" spans="1:9" ht="36" customHeight="1">
      <c r="A187" s="8">
        <v>184</v>
      </c>
      <c r="B187" s="49"/>
      <c r="C187" s="10">
        <f>IFERROR(VLOOKUP(B187,'Runner List'!$B$3:$OT$505,5,FALSE),0)</f>
        <v>0</v>
      </c>
      <c r="D187" s="8">
        <f>IFERROR(VLOOKUP(B187,'Runner List'!$B$3:$O$505,7,FALSE),0)</f>
        <v>0</v>
      </c>
      <c r="E187" s="8">
        <f>IFERROR(VLOOKUP(B187,'Runner List'!$B$3:$O$505,8,FALSE),0)</f>
        <v>0</v>
      </c>
      <c r="F187" s="8">
        <f>IFERROR(VLOOKUP(B187,'Runner List'!$B$3:$O$505,9,FALSE),0)</f>
        <v>0</v>
      </c>
      <c r="G187" s="8">
        <f>IFERROR(VLOOKUP(B187,'Runner List'!$B$3:$O$505,10,FALSE),0)</f>
        <v>0</v>
      </c>
      <c r="H187" s="52" t="str">
        <f t="shared" ca="1" si="4"/>
        <v/>
      </c>
      <c r="I187" s="76">
        <f>IFERROR(VLOOKUP(B187,'Runner List'!$B$3:$O$505,12,FALSE),0)</f>
        <v>0</v>
      </c>
    </row>
    <row r="188" spans="1:9" ht="36" customHeight="1">
      <c r="A188" s="8">
        <v>185</v>
      </c>
      <c r="B188" s="49"/>
      <c r="C188" s="10">
        <f>IFERROR(VLOOKUP(B188,'Runner List'!$B$3:$OT$505,5,FALSE),0)</f>
        <v>0</v>
      </c>
      <c r="D188" s="8">
        <f>IFERROR(VLOOKUP(B188,'Runner List'!$B$3:$O$505,7,FALSE),0)</f>
        <v>0</v>
      </c>
      <c r="E188" s="8">
        <f>IFERROR(VLOOKUP(B188,'Runner List'!$B$3:$O$505,8,FALSE),0)</f>
        <v>0</v>
      </c>
      <c r="F188" s="8">
        <f>IFERROR(VLOOKUP(B188,'Runner List'!$B$3:$O$505,9,FALSE),0)</f>
        <v>0</v>
      </c>
      <c r="G188" s="8">
        <f>IFERROR(VLOOKUP(B188,'Runner List'!$B$3:$O$505,10,FALSE),0)</f>
        <v>0</v>
      </c>
      <c r="H188" s="52" t="str">
        <f t="shared" ca="1" si="4"/>
        <v/>
      </c>
      <c r="I188" s="76">
        <f>IFERROR(VLOOKUP(B188,'Runner List'!$B$3:$O$505,12,FALSE),0)</f>
        <v>0</v>
      </c>
    </row>
    <row r="189" spans="1:9" ht="36" customHeight="1">
      <c r="A189" s="8">
        <v>186</v>
      </c>
      <c r="B189" s="49"/>
      <c r="C189" s="10">
        <f>IFERROR(VLOOKUP(B189,'Runner List'!$B$3:$OT$505,5,FALSE),0)</f>
        <v>0</v>
      </c>
      <c r="D189" s="8">
        <f>IFERROR(VLOOKUP(B189,'Runner List'!$B$3:$O$505,7,FALSE),0)</f>
        <v>0</v>
      </c>
      <c r="E189" s="8">
        <f>IFERROR(VLOOKUP(B189,'Runner List'!$B$3:$O$505,8,FALSE),0)</f>
        <v>0</v>
      </c>
      <c r="F189" s="8">
        <f>IFERROR(VLOOKUP(B189,'Runner List'!$B$3:$O$505,9,FALSE),0)</f>
        <v>0</v>
      </c>
      <c r="G189" s="8">
        <f>IFERROR(VLOOKUP(B189,'Runner List'!$B$3:$O$505,10,FALSE),0)</f>
        <v>0</v>
      </c>
      <c r="H189" s="52" t="str">
        <f t="shared" ca="1" si="4"/>
        <v/>
      </c>
      <c r="I189" s="76">
        <f>IFERROR(VLOOKUP(B189,'Runner List'!$B$3:$O$505,12,FALSE),0)</f>
        <v>0</v>
      </c>
    </row>
    <row r="190" spans="1:9" ht="36" customHeight="1">
      <c r="A190" s="8">
        <v>187</v>
      </c>
      <c r="B190" s="49"/>
      <c r="C190" s="10">
        <f>IFERROR(VLOOKUP(B190,'Runner List'!$B$3:$OT$505,5,FALSE),0)</f>
        <v>0</v>
      </c>
      <c r="D190" s="8">
        <f>IFERROR(VLOOKUP(B190,'Runner List'!$B$3:$O$505,7,FALSE),0)</f>
        <v>0</v>
      </c>
      <c r="E190" s="8">
        <f>IFERROR(VLOOKUP(B190,'Runner List'!$B$3:$O$505,8,FALSE),0)</f>
        <v>0</v>
      </c>
      <c r="F190" s="8">
        <f>IFERROR(VLOOKUP(B190,'Runner List'!$B$3:$O$505,9,FALSE),0)</f>
        <v>0</v>
      </c>
      <c r="G190" s="8">
        <f>IFERROR(VLOOKUP(B190,'Runner List'!$B$3:$O$505,10,FALSE),0)</f>
        <v>0</v>
      </c>
      <c r="H190" s="52" t="str">
        <f t="shared" ca="1" si="4"/>
        <v/>
      </c>
      <c r="I190" s="76">
        <f>IFERROR(VLOOKUP(B190,'Runner List'!$B$3:$O$505,12,FALSE),0)</f>
        <v>0</v>
      </c>
    </row>
    <row r="191" spans="1:9" ht="36" customHeight="1">
      <c r="A191" s="8">
        <v>188</v>
      </c>
      <c r="B191" s="49"/>
      <c r="C191" s="10">
        <f>IFERROR(VLOOKUP(B191,'Runner List'!$B$3:$OT$505,5,FALSE),0)</f>
        <v>0</v>
      </c>
      <c r="D191" s="8">
        <f>IFERROR(VLOOKUP(B191,'Runner List'!$B$3:$O$505,7,FALSE),0)</f>
        <v>0</v>
      </c>
      <c r="E191" s="8">
        <f>IFERROR(VLOOKUP(B191,'Runner List'!$B$3:$O$505,8,FALSE),0)</f>
        <v>0</v>
      </c>
      <c r="F191" s="8">
        <f>IFERROR(VLOOKUP(B191,'Runner List'!$B$3:$O$505,9,FALSE),0)</f>
        <v>0</v>
      </c>
      <c r="G191" s="8">
        <f>IFERROR(VLOOKUP(B191,'Runner List'!$B$3:$O$505,10,FALSE),0)</f>
        <v>0</v>
      </c>
      <c r="H191" s="52" t="str">
        <f t="shared" ca="1" si="4"/>
        <v/>
      </c>
      <c r="I191" s="76">
        <f>IFERROR(VLOOKUP(B191,'Runner List'!$B$3:$O$505,12,FALSE),0)</f>
        <v>0</v>
      </c>
    </row>
    <row r="192" spans="1:9" ht="36" customHeight="1">
      <c r="A192" s="8">
        <v>189</v>
      </c>
      <c r="B192" s="49"/>
      <c r="C192" s="10">
        <f>IFERROR(VLOOKUP(B192,'Runner List'!$B$3:$OT$505,5,FALSE),0)</f>
        <v>0</v>
      </c>
      <c r="D192" s="8">
        <f>IFERROR(VLOOKUP(B192,'Runner List'!$B$3:$O$505,7,FALSE),0)</f>
        <v>0</v>
      </c>
      <c r="E192" s="8">
        <f>IFERROR(VLOOKUP(B192,'Runner List'!$B$3:$O$505,8,FALSE),0)</f>
        <v>0</v>
      </c>
      <c r="F192" s="8">
        <f>IFERROR(VLOOKUP(B192,'Runner List'!$B$3:$O$505,9,FALSE),0)</f>
        <v>0</v>
      </c>
      <c r="G192" s="8">
        <f>IFERROR(VLOOKUP(B192,'Runner List'!$B$3:$O$505,10,FALSE),0)</f>
        <v>0</v>
      </c>
      <c r="H192" s="52" t="str">
        <f t="shared" ca="1" si="4"/>
        <v/>
      </c>
      <c r="I192" s="76">
        <f>IFERROR(VLOOKUP(B192,'Runner List'!$B$3:$O$505,12,FALSE),0)</f>
        <v>0</v>
      </c>
    </row>
    <row r="193" spans="1:9" ht="36" customHeight="1">
      <c r="A193" s="8">
        <v>190</v>
      </c>
      <c r="B193" s="49"/>
      <c r="C193" s="10">
        <f>IFERROR(VLOOKUP(B193,'Runner List'!$B$3:$OT$505,5,FALSE),0)</f>
        <v>0</v>
      </c>
      <c r="D193" s="8">
        <f>IFERROR(VLOOKUP(B193,'Runner List'!$B$3:$O$505,7,FALSE),0)</f>
        <v>0</v>
      </c>
      <c r="E193" s="8">
        <f>IFERROR(VLOOKUP(B193,'Runner List'!$B$3:$O$505,8,FALSE),0)</f>
        <v>0</v>
      </c>
      <c r="F193" s="8">
        <f>IFERROR(VLOOKUP(B193,'Runner List'!$B$3:$O$505,9,FALSE),0)</f>
        <v>0</v>
      </c>
      <c r="G193" s="8">
        <f>IFERROR(VLOOKUP(B193,'Runner List'!$B$3:$O$505,10,FALSE),0)</f>
        <v>0</v>
      </c>
      <c r="H193" s="52" t="str">
        <f t="shared" ca="1" si="4"/>
        <v/>
      </c>
      <c r="I193" s="76">
        <f>IFERROR(VLOOKUP(B193,'Runner List'!$B$3:$O$505,12,FALSE),0)</f>
        <v>0</v>
      </c>
    </row>
    <row r="194" spans="1:9" ht="36" customHeight="1">
      <c r="A194" s="8">
        <v>191</v>
      </c>
      <c r="B194" s="49"/>
      <c r="C194" s="10">
        <f>IFERROR(VLOOKUP(B194,'Runner List'!$B$3:$OT$505,5,FALSE),0)</f>
        <v>0</v>
      </c>
      <c r="D194" s="8">
        <f>IFERROR(VLOOKUP(B194,'Runner List'!$B$3:$O$505,7,FALSE),0)</f>
        <v>0</v>
      </c>
      <c r="E194" s="8">
        <f>IFERROR(VLOOKUP(B194,'Runner List'!$B$3:$O$505,8,FALSE),0)</f>
        <v>0</v>
      </c>
      <c r="F194" s="8">
        <f>IFERROR(VLOOKUP(B194,'Runner List'!$B$3:$O$505,9,FALSE),0)</f>
        <v>0</v>
      </c>
      <c r="G194" s="8">
        <f>IFERROR(VLOOKUP(B194,'Runner List'!$B$3:$O$505,10,FALSE),0)</f>
        <v>0</v>
      </c>
      <c r="H194" s="52" t="str">
        <f t="shared" ca="1" si="4"/>
        <v/>
      </c>
      <c r="I194" s="76">
        <f>IFERROR(VLOOKUP(B194,'Runner List'!$B$3:$O$505,12,FALSE),0)</f>
        <v>0</v>
      </c>
    </row>
    <row r="195" spans="1:9" ht="36" customHeight="1">
      <c r="A195" s="8">
        <v>192</v>
      </c>
      <c r="B195" s="49"/>
      <c r="C195" s="10">
        <f>IFERROR(VLOOKUP(B195,'Runner List'!$B$3:$OT$505,5,FALSE),0)</f>
        <v>0</v>
      </c>
      <c r="D195" s="8">
        <f>IFERROR(VLOOKUP(B195,'Runner List'!$B$3:$O$505,7,FALSE),0)</f>
        <v>0</v>
      </c>
      <c r="E195" s="8">
        <f>IFERROR(VLOOKUP(B195,'Runner List'!$B$3:$O$505,8,FALSE),0)</f>
        <v>0</v>
      </c>
      <c r="F195" s="8">
        <f>IFERROR(VLOOKUP(B195,'Runner List'!$B$3:$O$505,9,FALSE),0)</f>
        <v>0</v>
      </c>
      <c r="G195" s="8">
        <f>IFERROR(VLOOKUP(B195,'Runner List'!$B$3:$O$505,10,FALSE),0)</f>
        <v>0</v>
      </c>
      <c r="H195" s="52" t="str">
        <f t="shared" ca="1" si="4"/>
        <v/>
      </c>
      <c r="I195" s="76">
        <f>IFERROR(VLOOKUP(B195,'Runner List'!$B$3:$O$505,12,FALSE),0)</f>
        <v>0</v>
      </c>
    </row>
    <row r="196" spans="1:9" ht="36" customHeight="1">
      <c r="A196" s="8">
        <v>193</v>
      </c>
      <c r="B196" s="49"/>
      <c r="C196" s="10">
        <f>IFERROR(VLOOKUP(B196,'Runner List'!$B$3:$OT$505,5,FALSE),0)</f>
        <v>0</v>
      </c>
      <c r="D196" s="8">
        <f>IFERROR(VLOOKUP(B196,'Runner List'!$B$3:$O$505,7,FALSE),0)</f>
        <v>0</v>
      </c>
      <c r="E196" s="8">
        <f>IFERROR(VLOOKUP(B196,'Runner List'!$B$3:$O$505,8,FALSE),0)</f>
        <v>0</v>
      </c>
      <c r="F196" s="8">
        <f>IFERROR(VLOOKUP(B196,'Runner List'!$B$3:$O$505,9,FALSE),0)</f>
        <v>0</v>
      </c>
      <c r="G196" s="8">
        <f>IFERROR(VLOOKUP(B196,'Runner List'!$B$3:$O$505,10,FALSE),0)</f>
        <v>0</v>
      </c>
      <c r="H196" s="52" t="str">
        <f t="shared" ca="1" si="4"/>
        <v/>
      </c>
      <c r="I196" s="76">
        <f>IFERROR(VLOOKUP(B196,'Runner List'!$B$3:$O$505,12,FALSE),0)</f>
        <v>0</v>
      </c>
    </row>
    <row r="197" spans="1:9" ht="36" customHeight="1">
      <c r="A197" s="8">
        <v>194</v>
      </c>
      <c r="B197" s="49"/>
      <c r="C197" s="10">
        <f>IFERROR(VLOOKUP(B197,'Runner List'!$B$3:$OT$505,5,FALSE),0)</f>
        <v>0</v>
      </c>
      <c r="D197" s="8">
        <f>IFERROR(VLOOKUP(B197,'Runner List'!$B$3:$O$505,7,FALSE),0)</f>
        <v>0</v>
      </c>
      <c r="E197" s="8">
        <f>IFERROR(VLOOKUP(B197,'Runner List'!$B$3:$O$505,8,FALSE),0)</f>
        <v>0</v>
      </c>
      <c r="F197" s="8">
        <f>IFERROR(VLOOKUP(B197,'Runner List'!$B$3:$O$505,9,FALSE),0)</f>
        <v>0</v>
      </c>
      <c r="G197" s="8">
        <f>IFERROR(VLOOKUP(B197,'Runner List'!$B$3:$O$505,10,FALSE),0)</f>
        <v>0</v>
      </c>
      <c r="H197" s="52" t="str">
        <f t="shared" ca="1" si="4"/>
        <v/>
      </c>
      <c r="I197" s="76">
        <f>IFERROR(VLOOKUP(B197,'Runner List'!$B$3:$O$505,12,FALSE),0)</f>
        <v>0</v>
      </c>
    </row>
    <row r="198" spans="1:9" ht="36" customHeight="1">
      <c r="A198" s="8">
        <v>195</v>
      </c>
      <c r="B198" s="49"/>
      <c r="C198" s="10">
        <f>IFERROR(VLOOKUP(B198,'Runner List'!$B$3:$OT$505,5,FALSE),0)</f>
        <v>0</v>
      </c>
      <c r="D198" s="8">
        <f>IFERROR(VLOOKUP(B198,'Runner List'!$B$3:$O$505,7,FALSE),0)</f>
        <v>0</v>
      </c>
      <c r="E198" s="8">
        <f>IFERROR(VLOOKUP(B198,'Runner List'!$B$3:$O$505,8,FALSE),0)</f>
        <v>0</v>
      </c>
      <c r="F198" s="8">
        <f>IFERROR(VLOOKUP(B198,'Runner List'!$B$3:$O$505,9,FALSE),0)</f>
        <v>0</v>
      </c>
      <c r="G198" s="8">
        <f>IFERROR(VLOOKUP(B198,'Runner List'!$B$3:$O$505,10,FALSE),0)</f>
        <v>0</v>
      </c>
      <c r="H198" s="52" t="str">
        <f t="shared" ca="1" si="4"/>
        <v/>
      </c>
      <c r="I198" s="76">
        <f>IFERROR(VLOOKUP(B198,'Runner List'!$B$3:$O$505,12,FALSE),0)</f>
        <v>0</v>
      </c>
    </row>
    <row r="199" spans="1:9" ht="36" customHeight="1">
      <c r="A199" s="8">
        <v>196</v>
      </c>
      <c r="B199" s="49"/>
      <c r="C199" s="10">
        <f>IFERROR(VLOOKUP(B199,'Runner List'!$B$3:$OT$505,5,FALSE),0)</f>
        <v>0</v>
      </c>
      <c r="D199" s="8">
        <f>IFERROR(VLOOKUP(B199,'Runner List'!$B$3:$O$505,7,FALSE),0)</f>
        <v>0</v>
      </c>
      <c r="E199" s="8">
        <f>IFERROR(VLOOKUP(B199,'Runner List'!$B$3:$O$505,8,FALSE),0)</f>
        <v>0</v>
      </c>
      <c r="F199" s="8">
        <f>IFERROR(VLOOKUP(B199,'Runner List'!$B$3:$O$505,9,FALSE),0)</f>
        <v>0</v>
      </c>
      <c r="G199" s="8">
        <f>IFERROR(VLOOKUP(B199,'Runner List'!$B$3:$O$505,10,FALSE),0)</f>
        <v>0</v>
      </c>
      <c r="H199" s="52" t="str">
        <f t="shared" ref="H199:H203" ca="1" si="5">IF(B199="","",IF(H199="",NOW(),H199))</f>
        <v/>
      </c>
      <c r="I199" s="76">
        <f>IFERROR(VLOOKUP(B199,'Runner List'!$B$3:$O$505,12,FALSE),0)</f>
        <v>0</v>
      </c>
    </row>
    <row r="200" spans="1:9" ht="36" customHeight="1">
      <c r="A200" s="8">
        <v>197</v>
      </c>
      <c r="B200" s="49"/>
      <c r="C200" s="10">
        <f>IFERROR(VLOOKUP(B200,'Runner List'!$B$3:$OT$505,5,FALSE),0)</f>
        <v>0</v>
      </c>
      <c r="D200" s="8">
        <f>IFERROR(VLOOKUP(B200,'Runner List'!$B$3:$O$505,7,FALSE),0)</f>
        <v>0</v>
      </c>
      <c r="E200" s="8">
        <f>IFERROR(VLOOKUP(B200,'Runner List'!$B$3:$O$505,8,FALSE),0)</f>
        <v>0</v>
      </c>
      <c r="F200" s="8">
        <f>IFERROR(VLOOKUP(B200,'Runner List'!$B$3:$O$505,9,FALSE),0)</f>
        <v>0</v>
      </c>
      <c r="G200" s="8">
        <f>IFERROR(VLOOKUP(B200,'Runner List'!$B$3:$O$505,10,FALSE),0)</f>
        <v>0</v>
      </c>
      <c r="H200" s="52" t="str">
        <f t="shared" ca="1" si="5"/>
        <v/>
      </c>
      <c r="I200" s="76">
        <f>IFERROR(VLOOKUP(B200,'Runner List'!$B$3:$O$505,12,FALSE),0)</f>
        <v>0</v>
      </c>
    </row>
    <row r="201" spans="1:9" ht="36" customHeight="1">
      <c r="A201" s="8">
        <v>198</v>
      </c>
      <c r="B201" s="49"/>
      <c r="C201" s="10">
        <f>IFERROR(VLOOKUP(B201,'Runner List'!$B$3:$OT$505,5,FALSE),0)</f>
        <v>0</v>
      </c>
      <c r="D201" s="8">
        <f>IFERROR(VLOOKUP(B201,'Runner List'!$B$3:$O$505,7,FALSE),0)</f>
        <v>0</v>
      </c>
      <c r="E201" s="8">
        <f>IFERROR(VLOOKUP(B201,'Runner List'!$B$3:$O$505,8,FALSE),0)</f>
        <v>0</v>
      </c>
      <c r="F201" s="8">
        <f>IFERROR(VLOOKUP(B201,'Runner List'!$B$3:$O$505,9,FALSE),0)</f>
        <v>0</v>
      </c>
      <c r="G201" s="8">
        <f>IFERROR(VLOOKUP(B201,'Runner List'!$B$3:$O$505,10,FALSE),0)</f>
        <v>0</v>
      </c>
      <c r="H201" s="52" t="str">
        <f t="shared" ca="1" si="5"/>
        <v/>
      </c>
      <c r="I201" s="76">
        <f>IFERROR(VLOOKUP(B201,'Runner List'!$B$3:$O$505,12,FALSE),0)</f>
        <v>0</v>
      </c>
    </row>
    <row r="202" spans="1:9" ht="36" customHeight="1">
      <c r="A202" s="8">
        <v>199</v>
      </c>
      <c r="B202" s="49"/>
      <c r="C202" s="10">
        <f>IFERROR(VLOOKUP(B202,'Runner List'!$B$3:$OT$505,5,FALSE),0)</f>
        <v>0</v>
      </c>
      <c r="D202" s="8">
        <f>IFERROR(VLOOKUP(B202,'Runner List'!$B$3:$O$505,7,FALSE),0)</f>
        <v>0</v>
      </c>
      <c r="E202" s="8">
        <f>IFERROR(VLOOKUP(B202,'Runner List'!$B$3:$O$505,8,FALSE),0)</f>
        <v>0</v>
      </c>
      <c r="F202" s="8">
        <f>IFERROR(VLOOKUP(B202,'Runner List'!$B$3:$O$505,9,FALSE),0)</f>
        <v>0</v>
      </c>
      <c r="G202" s="8">
        <f>IFERROR(VLOOKUP(B202,'Runner List'!$B$3:$O$505,10,FALSE),0)</f>
        <v>0</v>
      </c>
      <c r="H202" s="52" t="str">
        <f t="shared" ca="1" si="5"/>
        <v/>
      </c>
      <c r="I202" s="76">
        <f>IFERROR(VLOOKUP(B202,'Runner List'!$B$3:$O$505,12,FALSE),0)</f>
        <v>0</v>
      </c>
    </row>
    <row r="203" spans="1:9" ht="36" customHeight="1">
      <c r="A203" s="8">
        <v>200</v>
      </c>
      <c r="B203" s="49"/>
      <c r="C203" s="10">
        <f>IFERROR(VLOOKUP(B203,'Runner List'!$B$3:$OT$505,5,FALSE),0)</f>
        <v>0</v>
      </c>
      <c r="D203" s="8">
        <f>IFERROR(VLOOKUP(B203,'Runner List'!$B$3:$O$505,7,FALSE),0)</f>
        <v>0</v>
      </c>
      <c r="E203" s="8">
        <f>IFERROR(VLOOKUP(B203,'Runner List'!$B$3:$O$505,8,FALSE),0)</f>
        <v>0</v>
      </c>
      <c r="F203" s="8">
        <f>IFERROR(VLOOKUP(B203,'Runner List'!$B$3:$O$505,9,FALSE),0)</f>
        <v>0</v>
      </c>
      <c r="G203" s="8">
        <f>IFERROR(VLOOKUP(B203,'Runner List'!$B$3:$O$505,10,FALSE),0)</f>
        <v>0</v>
      </c>
      <c r="H203" s="52" t="str">
        <f t="shared" ca="1" si="5"/>
        <v/>
      </c>
      <c r="I203" s="76">
        <f>IFERROR(VLOOKUP(B203,'Runner List'!$B$3:$O$505,12,FALSE),0)</f>
        <v>0</v>
      </c>
    </row>
  </sheetData>
  <autoFilter ref="A3:BF203" xr:uid="{00000000-0009-0000-0000-000002000000}"/>
  <conditionalFormatting sqref="P4:P11">
    <cfRule type="cellIs" dxfId="12" priority="2" operator="greaterThan">
      <formula>0</formula>
    </cfRule>
    <cfRule type="cellIs" dxfId="11" priority="4" operator="greaterThan">
      <formula>1</formula>
    </cfRule>
  </conditionalFormatting>
  <conditionalFormatting sqref="U4:U11">
    <cfRule type="cellIs" dxfId="10" priority="1" operator="greaterThan">
      <formula>0</formula>
    </cfRule>
    <cfRule type="cellIs" dxfId="9" priority="3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CC"/>
  </sheetPr>
  <dimension ref="A1:BE203"/>
  <sheetViews>
    <sheetView showGridLines="0" zoomScale="50" zoomScaleNormal="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20" sqref="N20"/>
    </sheetView>
  </sheetViews>
  <sheetFormatPr defaultRowHeight="14.4"/>
  <cols>
    <col min="1" max="1" width="6.88671875" style="1" customWidth="1"/>
    <col min="2" max="2" width="19.88671875" style="18" customWidth="1"/>
    <col min="3" max="3" width="54" style="11" bestFit="1" customWidth="1"/>
    <col min="4" max="4" width="37.6640625" style="11" bestFit="1" customWidth="1"/>
    <col min="5" max="5" width="26.6640625" style="2" bestFit="1" customWidth="1"/>
    <col min="6" max="6" width="15.44140625" style="2" customWidth="1"/>
    <col min="7" max="7" width="17" bestFit="1" customWidth="1"/>
    <col min="8" max="8" width="11.6640625" bestFit="1" customWidth="1"/>
    <col min="9" max="9" width="16.88671875" bestFit="1" customWidth="1"/>
    <col min="13" max="13" width="21.5546875" bestFit="1" customWidth="1"/>
    <col min="14" max="14" width="13.109375" bestFit="1" customWidth="1"/>
    <col min="15" max="15" width="11" bestFit="1" customWidth="1"/>
    <col min="17" max="17" width="10.109375" bestFit="1" customWidth="1"/>
    <col min="18" max="18" width="21.44140625" bestFit="1" customWidth="1"/>
    <col min="19" max="19" width="13.109375" bestFit="1" customWidth="1"/>
    <col min="20" max="20" width="11" bestFit="1" customWidth="1"/>
  </cols>
  <sheetData>
    <row r="1" spans="1:21" s="4" customFormat="1" ht="29.4" thickBot="1">
      <c r="A1" s="31" t="s">
        <v>37</v>
      </c>
      <c r="B1" s="17"/>
      <c r="C1" s="9"/>
      <c r="D1" s="9"/>
      <c r="E1" s="17"/>
      <c r="F1" s="17"/>
      <c r="M1" s="166" t="s">
        <v>291</v>
      </c>
    </row>
    <row r="2" spans="1:21" s="12" customFormat="1" ht="21" customHeight="1">
      <c r="A2" s="39" t="s">
        <v>4</v>
      </c>
      <c r="B2" s="47" t="s">
        <v>3</v>
      </c>
      <c r="C2" s="40" t="s">
        <v>5</v>
      </c>
      <c r="D2" s="40" t="s">
        <v>25</v>
      </c>
      <c r="E2" s="39" t="s">
        <v>35</v>
      </c>
      <c r="F2" s="39" t="s">
        <v>6</v>
      </c>
      <c r="G2" s="39" t="s">
        <v>23</v>
      </c>
      <c r="H2" s="39" t="s">
        <v>275</v>
      </c>
      <c r="I2" s="39" t="s">
        <v>13</v>
      </c>
      <c r="M2" s="167"/>
      <c r="N2" s="168"/>
      <c r="O2" s="168"/>
      <c r="P2" s="169"/>
      <c r="R2" s="174"/>
      <c r="S2" s="175"/>
      <c r="T2" s="175"/>
      <c r="U2" s="176"/>
    </row>
    <row r="3" spans="1:21" s="45" customFormat="1" ht="21" customHeight="1" thickBot="1">
      <c r="A3" s="43" t="s">
        <v>0</v>
      </c>
      <c r="B3" s="48" t="s">
        <v>2</v>
      </c>
      <c r="C3" s="44" t="s">
        <v>39</v>
      </c>
      <c r="D3" s="44" t="s">
        <v>26</v>
      </c>
      <c r="E3" s="43" t="s">
        <v>1</v>
      </c>
      <c r="F3" s="43" t="s">
        <v>7</v>
      </c>
      <c r="G3" s="43" t="s">
        <v>24</v>
      </c>
      <c r="H3" s="43" t="s">
        <v>276</v>
      </c>
      <c r="I3" s="43" t="s">
        <v>14</v>
      </c>
      <c r="M3" s="170" t="s">
        <v>205</v>
      </c>
      <c r="N3" s="171">
        <f>COUNTIF($H$4:$H$196,"MKT33")</f>
        <v>72</v>
      </c>
      <c r="O3" s="172"/>
      <c r="P3" s="173"/>
      <c r="Q3" s="69"/>
      <c r="R3" s="177" t="s">
        <v>46</v>
      </c>
      <c r="S3" s="178">
        <f>COUNTIF($H$4:$H$196,"MKT50")</f>
        <v>29</v>
      </c>
      <c r="T3" s="179"/>
      <c r="U3" s="180"/>
    </row>
    <row r="4" spans="1:21" ht="36" customHeight="1">
      <c r="A4" s="8">
        <v>1</v>
      </c>
      <c r="B4" s="49">
        <v>3349</v>
      </c>
      <c r="C4" s="10" t="str">
        <f>IFERROR(VLOOKUP(B4,'Runner List'!$B$3:$O$505,5,FALSE),0)</f>
        <v>ANUCHIT BOONSIRI</v>
      </c>
      <c r="D4" s="8" t="str">
        <f>IFERROR(VLOOKUP(B4,'Runner List'!$B$3:$O$505,6,FALSE),0)</f>
        <v>ANUCHIT.B</v>
      </c>
      <c r="E4" s="8" t="str">
        <f>IFERROR(VLOOKUP(B4,'Runner List'!$B$3:$O$505,7,FALSE),0)</f>
        <v>Male</v>
      </c>
      <c r="F4" s="8" t="str">
        <f>IFERROR(VLOOKUP(B4,'Runner List'!$B$3:$O$505,8,FALSE),0)</f>
        <v>50-59</v>
      </c>
      <c r="G4" s="8" t="str">
        <f>IFERROR(VLOOKUP(B4,'Runner List'!$B$3:$O$505,9,FALSE),0)</f>
        <v>Thai</v>
      </c>
      <c r="H4" s="8" t="str">
        <f>IFERROR(VLOOKUP(B4,'Runner List'!$B$3:$O$505,10,FALSE),0)</f>
        <v>MKT33</v>
      </c>
      <c r="I4" s="109">
        <f>IFERROR(VLOOKUP(B4,'Runner List'!$B$3:$O$505,12,FALSE),0)</f>
        <v>0.22916666666666666</v>
      </c>
      <c r="J4" s="6"/>
      <c r="M4" s="151" t="s">
        <v>277</v>
      </c>
      <c r="N4" s="152">
        <f>COUNTIFS($H$4:$H$196,"MKT33",$E$4:$E$196,"Male")</f>
        <v>43</v>
      </c>
      <c r="O4" s="153" t="s">
        <v>198</v>
      </c>
      <c r="P4" s="154">
        <f>COUNTIFS($H$4:$H$196,"MKT33",$E$4:$E$196,"Male",$F$4:$F$196,"20-39")</f>
        <v>19</v>
      </c>
      <c r="R4" s="165" t="s">
        <v>277</v>
      </c>
      <c r="S4" s="152">
        <f>COUNTIFS($H$4:$H$196,"MKT50",$E$4:$E$196,"Male")</f>
        <v>21</v>
      </c>
      <c r="T4" s="153" t="s">
        <v>198</v>
      </c>
      <c r="U4" s="154">
        <f>COUNTIFS($H$4:$H$196,"MKT50",$E$4:$E$196,"Male",$F$4:$F$196,"20-39")</f>
        <v>2</v>
      </c>
    </row>
    <row r="5" spans="1:21" ht="36" customHeight="1">
      <c r="A5" s="8">
        <v>2</v>
      </c>
      <c r="B5" s="49">
        <v>3391</v>
      </c>
      <c r="C5" s="10" t="str">
        <f>IFERROR(VLOOKUP(B5,'Runner List'!$B$3:$O$505,5,FALSE),0)</f>
        <v>SAMATCHA INTAPAI</v>
      </c>
      <c r="D5" s="8" t="str">
        <f>IFERROR(VLOOKUP(B5,'Runner List'!$B$3:$O$505,6,FALSE),0)</f>
        <v>SAMATCHA.I</v>
      </c>
      <c r="E5" s="8" t="str">
        <f>IFERROR(VLOOKUP(B5,'Runner List'!$B$3:$O$505,7,FALSE),0)</f>
        <v>Female</v>
      </c>
      <c r="F5" s="8" t="str">
        <f>IFERROR(VLOOKUP(B5,'Runner List'!$B$3:$O$505,8,FALSE),0)</f>
        <v>20-39</v>
      </c>
      <c r="G5" s="8" t="str">
        <f>IFERROR(VLOOKUP(B5,'Runner List'!$B$3:$O$505,9,FALSE),0)</f>
        <v>Thai</v>
      </c>
      <c r="H5" s="8" t="str">
        <f>IFERROR(VLOOKUP(B5,'Runner List'!$B$3:$O$505,10,FALSE),0)</f>
        <v>MKT33</v>
      </c>
      <c r="I5" s="109">
        <f>IFERROR(VLOOKUP(B5,'Runner List'!$B$3:$O$505,12,FALSE),0)</f>
        <v>0.22916666666666666</v>
      </c>
      <c r="M5" s="155"/>
      <c r="N5" s="147"/>
      <c r="O5" s="148" t="s">
        <v>196</v>
      </c>
      <c r="P5" s="156">
        <f>COUNTIFS($H$4:$H$196,"MKT33",$E$4:$E$196,"Male",$F$4:$F$196,"40-49")</f>
        <v>12</v>
      </c>
      <c r="R5" s="162"/>
      <c r="S5" s="147"/>
      <c r="T5" s="148" t="s">
        <v>196</v>
      </c>
      <c r="U5" s="156">
        <f>COUNTIFS($H$4:$H$196,"MKT50",$E$4:$E$196,"Male",$F$4:$F$196,"40-49")</f>
        <v>11</v>
      </c>
    </row>
    <row r="6" spans="1:21" ht="36" customHeight="1">
      <c r="A6" s="8">
        <v>3</v>
      </c>
      <c r="B6" s="49">
        <v>3392</v>
      </c>
      <c r="C6" s="10" t="str">
        <f>IFERROR(VLOOKUP(B6,'Runner List'!$B$3:$O$505,5,FALSE),0)</f>
        <v>SERI PHUPHISIT</v>
      </c>
      <c r="D6" s="8" t="str">
        <f>IFERROR(VLOOKUP(B6,'Runner List'!$B$3:$O$505,6,FALSE),0)</f>
        <v>SERI.P</v>
      </c>
      <c r="E6" s="8" t="str">
        <f>IFERROR(VLOOKUP(B6,'Runner List'!$B$3:$O$505,7,FALSE),0)</f>
        <v>Male</v>
      </c>
      <c r="F6" s="8" t="str">
        <f>IFERROR(VLOOKUP(B6,'Runner List'!$B$3:$O$505,8,FALSE),0)</f>
        <v>60 Plus</v>
      </c>
      <c r="G6" s="8" t="str">
        <f>IFERROR(VLOOKUP(B6,'Runner List'!$B$3:$O$505,9,FALSE),0)</f>
        <v>Thai</v>
      </c>
      <c r="H6" s="8" t="str">
        <f>IFERROR(VLOOKUP(B6,'Runner List'!$B$3:$O$505,10,FALSE),0)</f>
        <v>MKT33</v>
      </c>
      <c r="I6" s="109">
        <f>IFERROR(VLOOKUP(B6,'Runner List'!$B$3:$O$505,12,FALSE),0)</f>
        <v>0.22916666666666666</v>
      </c>
      <c r="M6" s="155"/>
      <c r="N6" s="147"/>
      <c r="O6" s="148" t="s">
        <v>197</v>
      </c>
      <c r="P6" s="156">
        <f>COUNTIFS($H$4:$H$196,"MKT33",$E$4:$E$196,"Male",$F$4:$F$196,"50-59")</f>
        <v>9</v>
      </c>
      <c r="R6" s="162"/>
      <c r="S6" s="147"/>
      <c r="T6" s="148" t="s">
        <v>197</v>
      </c>
      <c r="U6" s="156">
        <f>COUNTIFS($H$4:$H$196,"MKT50",$E$4:$E$196,"Male",$F$4:$F$196,"50-59")</f>
        <v>5</v>
      </c>
    </row>
    <row r="7" spans="1:21" ht="36" customHeight="1" thickBot="1">
      <c r="A7" s="8">
        <v>4</v>
      </c>
      <c r="B7" s="49">
        <v>5050</v>
      </c>
      <c r="C7" s="10" t="str">
        <f>IFERROR(VLOOKUP(B7,'Runner List'!$B$3:$O$505,5,FALSE),0)</f>
        <v>THANAPHAT CHAIPOH</v>
      </c>
      <c r="D7" s="8" t="str">
        <f>IFERROR(VLOOKUP(B7,'Runner List'!$B$3:$O$505,6,FALSE),0)</f>
        <v>THANAPHAT CHAIPOH</v>
      </c>
      <c r="E7" s="8" t="str">
        <f>IFERROR(VLOOKUP(B7,'Runner List'!$B$3:$O$505,7,FALSE),0)</f>
        <v>LGBTIQAN+</v>
      </c>
      <c r="F7" s="8">
        <f>IFERROR(VLOOKUP(B7,'Runner List'!$B$3:$O$505,8,FALSE),0)</f>
        <v>0</v>
      </c>
      <c r="G7" s="8" t="str">
        <f>IFERROR(VLOOKUP(B7,'Runner List'!$B$3:$O$505,9,FALSE),0)</f>
        <v>Thai</v>
      </c>
      <c r="H7" s="8" t="str">
        <f>IFERROR(VLOOKUP(B7,'Runner List'!$B$3:$O$505,10,FALSE),0)</f>
        <v>MKT50</v>
      </c>
      <c r="I7" s="109">
        <f>IFERROR(VLOOKUP(B7,'Runner List'!$B$3:$O$505,12,FALSE),0)</f>
        <v>0.20833333333333334</v>
      </c>
      <c r="M7" s="157"/>
      <c r="N7" s="158"/>
      <c r="O7" s="159" t="s">
        <v>274</v>
      </c>
      <c r="P7" s="160">
        <f>COUNTIFS($H$4:$H$196,"MKT33",$E$4:$E$196,"Male",$F$4:$F$196,"60 Plush")</f>
        <v>0</v>
      </c>
      <c r="R7" s="163"/>
      <c r="S7" s="158"/>
      <c r="T7" s="159" t="s">
        <v>274</v>
      </c>
      <c r="U7" s="160">
        <f>COUNTIFS($H$4:$H$196,"MKT50",$E$4:$E$196,"Male",$F$4:$F$196,"60 Plus")</f>
        <v>3</v>
      </c>
    </row>
    <row r="8" spans="1:21" ht="36" customHeight="1">
      <c r="A8" s="8">
        <v>5</v>
      </c>
      <c r="B8" s="49">
        <v>5022</v>
      </c>
      <c r="C8" s="10" t="str">
        <f>IFERROR(VLOOKUP(B8,'Runner List'!$B$3:$O$505,5,FALSE),0)</f>
        <v>WEERAWAT SHATAREEYAKUL</v>
      </c>
      <c r="D8" s="8" t="str">
        <f>IFERROR(VLOOKUP(B8,'Runner List'!$B$3:$O$505,6,FALSE),0)</f>
        <v>WEERAWAT.S</v>
      </c>
      <c r="E8" s="8" t="str">
        <f>IFERROR(VLOOKUP(B8,'Runner List'!$B$3:$O$505,7,FALSE),0)</f>
        <v>Male</v>
      </c>
      <c r="F8" s="8" t="str">
        <f>IFERROR(VLOOKUP(B8,'Runner List'!$B$3:$O$505,8,FALSE),0)</f>
        <v>40-49</v>
      </c>
      <c r="G8" s="8" t="str">
        <f>IFERROR(VLOOKUP(B8,'Runner List'!$B$3:$O$505,9,FALSE),0)</f>
        <v>Thai</v>
      </c>
      <c r="H8" s="8" t="str">
        <f>IFERROR(VLOOKUP(B8,'Runner List'!$B$3:$O$505,10,FALSE),0)</f>
        <v>MKT50</v>
      </c>
      <c r="I8" s="109">
        <f>IFERROR(VLOOKUP(B8,'Runner List'!$B$3:$O$505,12,FALSE),0)</f>
        <v>0.20833333333333334</v>
      </c>
      <c r="M8" s="161" t="s">
        <v>278</v>
      </c>
      <c r="N8" s="152">
        <f>COUNTIFS($H$4:$H$196,"MKT33",$E$4:$E$196,"Female")</f>
        <v>25</v>
      </c>
      <c r="O8" s="153" t="s">
        <v>198</v>
      </c>
      <c r="P8" s="154">
        <f>COUNTIFS($H$4:$H$196,"MKT33",$E$4:$E$196,"Female",$F$4:$F$196,"20-39")</f>
        <v>13</v>
      </c>
      <c r="R8" s="165" t="s">
        <v>278</v>
      </c>
      <c r="S8" s="152">
        <f>COUNTIFS($H$4:$H$196,"MKT50",$E$4:$E$196,"Female")</f>
        <v>7</v>
      </c>
      <c r="T8" s="153" t="s">
        <v>198</v>
      </c>
      <c r="U8" s="154">
        <f>COUNTIFS($H$4:$H$196,"MKT50",$E$4:$E$196,"Female",$F$4:$F$196,"20-39")</f>
        <v>0</v>
      </c>
    </row>
    <row r="9" spans="1:21" ht="36" customHeight="1">
      <c r="A9" s="8">
        <v>6</v>
      </c>
      <c r="B9" s="49">
        <v>5039</v>
      </c>
      <c r="C9" s="10" t="str">
        <f>IFERROR(VLOOKUP(B9,'Runner List'!$B$3:$O$505,5,FALSE),0)</f>
        <v>KITTIVUT KAEWPRASERT</v>
      </c>
      <c r="D9" s="8" t="str">
        <f>IFERROR(VLOOKUP(B9,'Runner List'!$B$3:$O$505,6,FALSE),0)</f>
        <v>KITTIVUT.K</v>
      </c>
      <c r="E9" s="8" t="str">
        <f>IFERROR(VLOOKUP(B9,'Runner List'!$B$3:$O$505,7,FALSE),0)</f>
        <v>Male</v>
      </c>
      <c r="F9" s="8" t="str">
        <f>IFERROR(VLOOKUP(B9,'Runner List'!$B$3:$O$505,8,FALSE),0)</f>
        <v>40-49</v>
      </c>
      <c r="G9" s="8" t="str">
        <f>IFERROR(VLOOKUP(B9,'Runner List'!$B$3:$O$505,9,FALSE),0)</f>
        <v>Thai</v>
      </c>
      <c r="H9" s="8" t="str">
        <f>IFERROR(VLOOKUP(B9,'Runner List'!$B$3:$O$505,10,FALSE),0)</f>
        <v>MKT50</v>
      </c>
      <c r="I9" s="109">
        <f>IFERROR(VLOOKUP(B9,'Runner List'!$B$3:$O$505,12,FALSE),0)</f>
        <v>0.20833333333333334</v>
      </c>
      <c r="M9" s="162"/>
      <c r="N9" s="147"/>
      <c r="O9" s="148" t="s">
        <v>196</v>
      </c>
      <c r="P9" s="156">
        <f>COUNTIFS($H$4:$H$196,"MKT33",$E$4:$E$196,"Female",$F$4:$F$196,"40-49")</f>
        <v>7</v>
      </c>
      <c r="R9" s="162"/>
      <c r="S9" s="147"/>
      <c r="T9" s="148" t="s">
        <v>196</v>
      </c>
      <c r="U9" s="156">
        <f>COUNTIFS($H$4:$H$196,"MKT50",$E$4:$E$196,"Female",$F$4:$F$196,"40-49")</f>
        <v>2</v>
      </c>
    </row>
    <row r="10" spans="1:21" ht="36" customHeight="1">
      <c r="A10" s="8">
        <v>7</v>
      </c>
      <c r="B10" s="49">
        <v>5019</v>
      </c>
      <c r="C10" s="10" t="str">
        <f>IFERROR(VLOOKUP(B10,'Runner List'!$B$3:$O$505,5,FALSE),0)</f>
        <v>JAIYASIDHA GLANKWAHMDEE</v>
      </c>
      <c r="D10" s="8" t="str">
        <f>IFERROR(VLOOKUP(B10,'Runner List'!$B$3:$O$505,6,FALSE),0)</f>
        <v>JAIYASIDHA.G</v>
      </c>
      <c r="E10" s="8" t="str">
        <f>IFERROR(VLOOKUP(B10,'Runner List'!$B$3:$O$505,7,FALSE),0)</f>
        <v>Male</v>
      </c>
      <c r="F10" s="8" t="str">
        <f>IFERROR(VLOOKUP(B10,'Runner List'!$B$3:$O$505,8,FALSE),0)</f>
        <v>20-39</v>
      </c>
      <c r="G10" s="8" t="str">
        <f>IFERROR(VLOOKUP(B10,'Runner List'!$B$3:$O$505,9,FALSE),0)</f>
        <v>Thai</v>
      </c>
      <c r="H10" s="8" t="str">
        <f>IFERROR(VLOOKUP(B10,'Runner List'!$B$3:$O$505,10,FALSE),0)</f>
        <v>MKT50</v>
      </c>
      <c r="I10" s="109">
        <f>IFERROR(VLOOKUP(B10,'Runner List'!$B$3:$O$505,12,FALSE),0)</f>
        <v>0.20833333333333334</v>
      </c>
      <c r="M10" s="162"/>
      <c r="N10" s="147"/>
      <c r="O10" s="148" t="s">
        <v>197</v>
      </c>
      <c r="P10" s="156">
        <f>COUNTIFS($H$4:$H$196,"MKT33",$E$4:$E$196,"Female",$F$4:$F$196,"50-59")</f>
        <v>4</v>
      </c>
      <c r="R10" s="162"/>
      <c r="S10" s="147"/>
      <c r="T10" s="148" t="s">
        <v>197</v>
      </c>
      <c r="U10" s="156">
        <f>COUNTIFS($H$4:$H$196,"MKT50",$E$4:$E$196,"Female",$F$4:$F$196,"50-59")</f>
        <v>4</v>
      </c>
    </row>
    <row r="11" spans="1:21" ht="36" customHeight="1" thickBot="1">
      <c r="A11" s="8">
        <v>8</v>
      </c>
      <c r="B11" s="49">
        <v>5020</v>
      </c>
      <c r="C11" s="10" t="str">
        <f>IFERROR(VLOOKUP(B11,'Runner List'!$B$3:$O$505,5,FALSE),0)</f>
        <v>BORWORNVIDHYA GLANKWAHMDEE</v>
      </c>
      <c r="D11" s="8" t="str">
        <f>IFERROR(VLOOKUP(B11,'Runner List'!$B$3:$O$505,6,FALSE),0)</f>
        <v>BORWORNVIDHYA.G</v>
      </c>
      <c r="E11" s="8" t="str">
        <f>IFERROR(VLOOKUP(B11,'Runner List'!$B$3:$O$505,7,FALSE),0)</f>
        <v>Male</v>
      </c>
      <c r="F11" s="8" t="str">
        <f>IFERROR(VLOOKUP(B11,'Runner List'!$B$3:$O$505,8,FALSE),0)</f>
        <v>60 Plus</v>
      </c>
      <c r="G11" s="8" t="str">
        <f>IFERROR(VLOOKUP(B11,'Runner List'!$B$3:$O$505,9,FALSE),0)</f>
        <v>Thai</v>
      </c>
      <c r="H11" s="8" t="str">
        <f>IFERROR(VLOOKUP(B11,'Runner List'!$B$3:$O$505,10,FALSE),0)</f>
        <v>MKT50</v>
      </c>
      <c r="I11" s="109">
        <f>IFERROR(VLOOKUP(B11,'Runner List'!$B$3:$O$505,12,FALSE),0)</f>
        <v>0.20833333333333334</v>
      </c>
      <c r="M11" s="163"/>
      <c r="N11" s="158"/>
      <c r="O11" s="159" t="s">
        <v>274</v>
      </c>
      <c r="P11" s="160">
        <f>COUNTIFS($H$4:$H$196,"MKT33",$E$4:$E$196,"Female",$F$4:$F$196,"60 Plush")</f>
        <v>0</v>
      </c>
      <c r="R11" s="163"/>
      <c r="S11" s="158"/>
      <c r="T11" s="159" t="s">
        <v>274</v>
      </c>
      <c r="U11" s="160">
        <f>COUNTIFS($H$4:$H$196,"MKT50",$E$4:$E$196,"Female",$F$4:$F$196,"60 Plus")</f>
        <v>1</v>
      </c>
    </row>
    <row r="12" spans="1:21" ht="36" customHeight="1">
      <c r="A12" s="8">
        <v>9</v>
      </c>
      <c r="B12" s="49">
        <v>5021</v>
      </c>
      <c r="C12" s="10" t="str">
        <f>IFERROR(VLOOKUP(B12,'Runner List'!$B$3:$O$505,5,FALSE),0)</f>
        <v>KANOKRUD GLANKWAHMDEE</v>
      </c>
      <c r="D12" s="8" t="str">
        <f>IFERROR(VLOOKUP(B12,'Runner List'!$B$3:$O$505,6,FALSE),0)</f>
        <v>KANOKRUD.G</v>
      </c>
      <c r="E12" s="8" t="str">
        <f>IFERROR(VLOOKUP(B12,'Runner List'!$B$3:$O$505,7,FALSE),0)</f>
        <v>Female</v>
      </c>
      <c r="F12" s="8" t="str">
        <f>IFERROR(VLOOKUP(B12,'Runner List'!$B$3:$O$505,8,FALSE),0)</f>
        <v>60 Plus</v>
      </c>
      <c r="G12" s="8" t="str">
        <f>IFERROR(VLOOKUP(B12,'Runner List'!$B$3:$O$505,9,FALSE),0)</f>
        <v>Thai</v>
      </c>
      <c r="H12" s="8" t="str">
        <f>IFERROR(VLOOKUP(B12,'Runner List'!$B$3:$O$505,10,FALSE),0)</f>
        <v>MKT50</v>
      </c>
      <c r="I12" s="109">
        <f>IFERROR(VLOOKUP(B12,'Runner List'!$B$3:$O$505,12,FALSE),0)</f>
        <v>0.20833333333333334</v>
      </c>
      <c r="M12" s="164" t="s">
        <v>279</v>
      </c>
      <c r="N12" s="152">
        <f>COUNTIFS($H$4:$H$196,"MKT33",$E$4:$E$196,"LGBTIQAN+")</f>
        <v>4</v>
      </c>
      <c r="O12" s="153" t="s">
        <v>198</v>
      </c>
      <c r="P12" s="154" t="s">
        <v>288</v>
      </c>
      <c r="R12" s="165" t="s">
        <v>279</v>
      </c>
      <c r="S12" s="152">
        <f>COUNTIFS($H$4:$H$196,"MKT50",$E$4:$E$196,"LGBTIQAN+")</f>
        <v>1</v>
      </c>
      <c r="T12" s="153" t="s">
        <v>198</v>
      </c>
      <c r="U12" s="154" t="s">
        <v>288</v>
      </c>
    </row>
    <row r="13" spans="1:21" ht="36" customHeight="1">
      <c r="A13" s="8">
        <v>10</v>
      </c>
      <c r="B13" s="49">
        <v>3346</v>
      </c>
      <c r="C13" s="10" t="str">
        <f>IFERROR(VLOOKUP(B13,'Runner List'!$B$3:$O$505,5,FALSE),0)</f>
        <v>NITITHRON ASAWAWONGMETHEE</v>
      </c>
      <c r="D13" s="8" t="str">
        <f>IFERROR(VLOOKUP(B13,'Runner List'!$B$3:$O$505,6,FALSE),0)</f>
        <v>NITITHRON.A</v>
      </c>
      <c r="E13" s="8" t="str">
        <f>IFERROR(VLOOKUP(B13,'Runner List'!$B$3:$O$505,7,FALSE),0)</f>
        <v>Male</v>
      </c>
      <c r="F13" s="8" t="str">
        <f>IFERROR(VLOOKUP(B13,'Runner List'!$B$3:$O$505,8,FALSE),0)</f>
        <v>20-39</v>
      </c>
      <c r="G13" s="8" t="str">
        <f>IFERROR(VLOOKUP(B13,'Runner List'!$B$3:$O$505,9,FALSE),0)</f>
        <v>Thai</v>
      </c>
      <c r="H13" s="8" t="str">
        <f>IFERROR(VLOOKUP(B13,'Runner List'!$B$3:$O$505,10,FALSE),0)</f>
        <v>MKT33</v>
      </c>
      <c r="I13" s="109">
        <f>IFERROR(VLOOKUP(B13,'Runner List'!$B$3:$O$505,12,FALSE),0)</f>
        <v>0.22916666666666666</v>
      </c>
      <c r="M13" s="162"/>
      <c r="N13" s="147"/>
      <c r="O13" s="148" t="s">
        <v>196</v>
      </c>
      <c r="P13" s="156" t="s">
        <v>288</v>
      </c>
      <c r="R13" s="162"/>
      <c r="S13" s="147"/>
      <c r="T13" s="148" t="s">
        <v>196</v>
      </c>
      <c r="U13" s="156" t="s">
        <v>288</v>
      </c>
    </row>
    <row r="14" spans="1:21" ht="36" customHeight="1">
      <c r="A14" s="8">
        <v>11</v>
      </c>
      <c r="B14" s="49">
        <v>3345</v>
      </c>
      <c r="C14" s="10" t="str">
        <f>IFERROR(VLOOKUP(B14,'Runner List'!$B$3:$O$505,5,FALSE),0)</f>
        <v>CHONHATHAI THIENSIRI</v>
      </c>
      <c r="D14" s="8" t="str">
        <f>IFERROR(VLOOKUP(B14,'Runner List'!$B$3:$O$505,6,FALSE),0)</f>
        <v>CHONHATHAI.T</v>
      </c>
      <c r="E14" s="8" t="str">
        <f>IFERROR(VLOOKUP(B14,'Runner List'!$B$3:$O$505,7,FALSE),0)</f>
        <v>Female</v>
      </c>
      <c r="F14" s="8" t="str">
        <f>IFERROR(VLOOKUP(B14,'Runner List'!$B$3:$O$505,8,FALSE),0)</f>
        <v>20-39</v>
      </c>
      <c r="G14" s="8" t="str">
        <f>IFERROR(VLOOKUP(B14,'Runner List'!$B$3:$O$505,9,FALSE),0)</f>
        <v>Thai</v>
      </c>
      <c r="H14" s="8" t="str">
        <f>IFERROR(VLOOKUP(B14,'Runner List'!$B$3:$O$505,10,FALSE),0)</f>
        <v>MKT33</v>
      </c>
      <c r="I14" s="109">
        <f>IFERROR(VLOOKUP(B14,'Runner List'!$B$3:$O$505,12,FALSE),0)</f>
        <v>0.22916666666666666</v>
      </c>
      <c r="M14" s="162"/>
      <c r="N14" s="147"/>
      <c r="O14" s="148" t="s">
        <v>197</v>
      </c>
      <c r="P14" s="156" t="s">
        <v>288</v>
      </c>
      <c r="R14" s="162"/>
      <c r="S14" s="147"/>
      <c r="T14" s="148" t="s">
        <v>197</v>
      </c>
      <c r="U14" s="156" t="s">
        <v>288</v>
      </c>
    </row>
    <row r="15" spans="1:21" ht="36" customHeight="1" thickBot="1">
      <c r="A15" s="8">
        <v>12</v>
      </c>
      <c r="B15" s="49">
        <v>3347</v>
      </c>
      <c r="C15" s="10" t="str">
        <f>IFERROR(VLOOKUP(B15,'Runner List'!$B$3:$O$505,5,FALSE),0)</f>
        <v>PORNPOT KAJORNJIT</v>
      </c>
      <c r="D15" s="8" t="str">
        <f>IFERROR(VLOOKUP(B15,'Runner List'!$B$3:$O$505,6,FALSE),0)</f>
        <v>PORNPOT.K</v>
      </c>
      <c r="E15" s="8" t="str">
        <f>IFERROR(VLOOKUP(B15,'Runner List'!$B$3:$O$505,7,FALSE),0)</f>
        <v>Male</v>
      </c>
      <c r="F15" s="8" t="str">
        <f>IFERROR(VLOOKUP(B15,'Runner List'!$B$3:$O$505,8,FALSE),0)</f>
        <v>20-39</v>
      </c>
      <c r="G15" s="8" t="str">
        <f>IFERROR(VLOOKUP(B15,'Runner List'!$B$3:$O$505,9,FALSE),0)</f>
        <v>Thai</v>
      </c>
      <c r="H15" s="8" t="str">
        <f>IFERROR(VLOOKUP(B15,'Runner List'!$B$3:$O$505,10,FALSE),0)</f>
        <v>MKT33</v>
      </c>
      <c r="I15" s="109">
        <f>IFERROR(VLOOKUP(B15,'Runner List'!$B$3:$O$505,12,FALSE),0)</f>
        <v>0.22916666666666666</v>
      </c>
      <c r="M15" s="163"/>
      <c r="N15" s="158"/>
      <c r="O15" s="159" t="s">
        <v>274</v>
      </c>
      <c r="P15" s="160" t="s">
        <v>288</v>
      </c>
      <c r="R15" s="163"/>
      <c r="S15" s="158"/>
      <c r="T15" s="159" t="s">
        <v>274</v>
      </c>
      <c r="U15" s="160" t="s">
        <v>288</v>
      </c>
    </row>
    <row r="16" spans="1:21" ht="36" customHeight="1">
      <c r="A16" s="8">
        <v>13</v>
      </c>
      <c r="B16" s="49">
        <v>5025</v>
      </c>
      <c r="C16" s="10" t="str">
        <f>IFERROR(VLOOKUP(B16,'Runner List'!$B$3:$O$505,5,FALSE),0)</f>
        <v>NOTTHAKIT KASEE</v>
      </c>
      <c r="D16" s="8" t="str">
        <f>IFERROR(VLOOKUP(B16,'Runner List'!$B$3:$O$505,6,FALSE),0)</f>
        <v>NOTTHAKIT.K</v>
      </c>
      <c r="E16" s="8" t="str">
        <f>IFERROR(VLOOKUP(B16,'Runner List'!$B$3:$O$505,7,FALSE),0)</f>
        <v>Male</v>
      </c>
      <c r="F16" s="8" t="str">
        <f>IFERROR(VLOOKUP(B16,'Runner List'!$B$3:$O$505,8,FALSE),0)</f>
        <v>50-59</v>
      </c>
      <c r="G16" s="8" t="str">
        <f>IFERROR(VLOOKUP(B16,'Runner List'!$B$3:$O$505,9,FALSE),0)</f>
        <v>Thai</v>
      </c>
      <c r="H16" s="8" t="str">
        <f>IFERROR(VLOOKUP(B16,'Runner List'!$B$3:$O$505,10,FALSE),0)</f>
        <v>MKT50</v>
      </c>
      <c r="I16" s="109">
        <f>IFERROR(VLOOKUP(B16,'Runner List'!$B$3:$O$505,12,FALSE),0)</f>
        <v>0.20833333333333334</v>
      </c>
      <c r="N16" s="186">
        <f>SUM(N4:N15)</f>
        <v>72</v>
      </c>
      <c r="S16" s="186">
        <f>SUM(S4:S15)</f>
        <v>29</v>
      </c>
    </row>
    <row r="17" spans="1:9" ht="36" customHeight="1">
      <c r="A17" s="8">
        <v>14</v>
      </c>
      <c r="B17" s="49">
        <v>5026</v>
      </c>
      <c r="C17" s="10" t="str">
        <f>IFERROR(VLOOKUP(B17,'Runner List'!$B$3:$O$505,5,FALSE),0)</f>
        <v>MALILA KOSURA</v>
      </c>
      <c r="D17" s="8" t="str">
        <f>IFERROR(VLOOKUP(B17,'Runner List'!$B$3:$O$505,6,FALSE),0)</f>
        <v>MALILA.K</v>
      </c>
      <c r="E17" s="8" t="str">
        <f>IFERROR(VLOOKUP(B17,'Runner List'!$B$3:$O$505,7,FALSE),0)</f>
        <v>Female</v>
      </c>
      <c r="F17" s="8" t="str">
        <f>IFERROR(VLOOKUP(B17,'Runner List'!$B$3:$O$505,8,FALSE),0)</f>
        <v>50-59</v>
      </c>
      <c r="G17" s="8" t="str">
        <f>IFERROR(VLOOKUP(B17,'Runner List'!$B$3:$O$505,9,FALSE),0)</f>
        <v>Thai</v>
      </c>
      <c r="H17" s="8" t="str">
        <f>IFERROR(VLOOKUP(B17,'Runner List'!$B$3:$O$505,10,FALSE),0)</f>
        <v>MKT50</v>
      </c>
      <c r="I17" s="109">
        <f>IFERROR(VLOOKUP(B17,'Runner List'!$B$3:$O$505,12,FALSE),0)</f>
        <v>0.20833333333333334</v>
      </c>
    </row>
    <row r="18" spans="1:9" ht="36" customHeight="1">
      <c r="A18" s="8">
        <v>15</v>
      </c>
      <c r="B18" s="49">
        <v>5048</v>
      </c>
      <c r="C18" s="10" t="str">
        <f>IFERROR(VLOOKUP(B18,'Runner List'!$B$3:$O$505,5,FALSE),0)</f>
        <v>SONGWUT BOAKHEM</v>
      </c>
      <c r="D18" s="8" t="str">
        <f>IFERROR(VLOOKUP(B18,'Runner List'!$B$3:$O$505,6,FALSE),0)</f>
        <v>SONGWUD BOAKHEM</v>
      </c>
      <c r="E18" s="8" t="str">
        <f>IFERROR(VLOOKUP(B18,'Runner List'!$B$3:$O$505,7,FALSE),0)</f>
        <v>Male</v>
      </c>
      <c r="F18" s="8" t="str">
        <f>IFERROR(VLOOKUP(B18,'Runner List'!$B$3:$O$505,8,FALSE),0)</f>
        <v>60 Plus</v>
      </c>
      <c r="G18" s="8" t="str">
        <f>IFERROR(VLOOKUP(B18,'Runner List'!$B$3:$O$505,9,FALSE),0)</f>
        <v>Thai</v>
      </c>
      <c r="H18" s="8" t="str">
        <f>IFERROR(VLOOKUP(B18,'Runner List'!$B$3:$O$505,10,FALSE),0)</f>
        <v>MKT50</v>
      </c>
      <c r="I18" s="109">
        <f>IFERROR(VLOOKUP(B18,'Runner List'!$B$3:$O$505,12,FALSE),0)</f>
        <v>0.20833333333333334</v>
      </c>
    </row>
    <row r="19" spans="1:9" ht="36" customHeight="1">
      <c r="A19" s="8">
        <v>16</v>
      </c>
      <c r="B19" s="49">
        <v>3365</v>
      </c>
      <c r="C19" s="10" t="str">
        <f>IFERROR(VLOOKUP(B19,'Runner List'!$B$3:$O$505,5,FALSE),0)</f>
        <v>WILLIAM BJ SCHULTE</v>
      </c>
      <c r="D19" s="8" t="str">
        <f>IFERROR(VLOOKUP(B19,'Runner List'!$B$3:$O$505,6,FALSE),0)</f>
        <v>WILLIAM BJ SCHULTE</v>
      </c>
      <c r="E19" s="8" t="str">
        <f>IFERROR(VLOOKUP(B19,'Runner List'!$B$3:$O$505,7,FALSE),0)</f>
        <v>Male</v>
      </c>
      <c r="F19" s="8" t="str">
        <f>IFERROR(VLOOKUP(B19,'Runner List'!$B$3:$O$505,8,FALSE),0)</f>
        <v>40-49</v>
      </c>
      <c r="G19" s="8" t="str">
        <f>IFERROR(VLOOKUP(B19,'Runner List'!$B$3:$O$505,9,FALSE),0)</f>
        <v>USA</v>
      </c>
      <c r="H19" s="8" t="str">
        <f>IFERROR(VLOOKUP(B19,'Runner List'!$B$3:$O$505,10,FALSE),0)</f>
        <v>MKT33</v>
      </c>
      <c r="I19" s="109">
        <f>IFERROR(VLOOKUP(B19,'Runner List'!$B$3:$O$505,12,FALSE),0)</f>
        <v>0.22916666666666666</v>
      </c>
    </row>
    <row r="20" spans="1:9" ht="36" customHeight="1">
      <c r="A20" s="8">
        <v>17</v>
      </c>
      <c r="B20" s="49">
        <v>3336</v>
      </c>
      <c r="C20" s="10" t="str">
        <f>IFERROR(VLOOKUP(B20,'Runner List'!$B$3:$O$505,5,FALSE),0)</f>
        <v>SUTHEP JIRAPATPONGSAKORN</v>
      </c>
      <c r="D20" s="8" t="str">
        <f>IFERROR(VLOOKUP(B20,'Runner List'!$B$3:$O$505,6,FALSE),0)</f>
        <v>SUTHEP.J</v>
      </c>
      <c r="E20" s="8" t="str">
        <f>IFERROR(VLOOKUP(B20,'Runner List'!$B$3:$O$505,7,FALSE),0)</f>
        <v>Male</v>
      </c>
      <c r="F20" s="8" t="str">
        <f>IFERROR(VLOOKUP(B20,'Runner List'!$B$3:$O$505,8,FALSE),0)</f>
        <v>60 Plus</v>
      </c>
      <c r="G20" s="8" t="str">
        <f>IFERROR(VLOOKUP(B20,'Runner List'!$B$3:$O$505,9,FALSE),0)</f>
        <v>Thai</v>
      </c>
      <c r="H20" s="8" t="str">
        <f>IFERROR(VLOOKUP(B20,'Runner List'!$B$3:$O$505,10,FALSE),0)</f>
        <v>MKT33</v>
      </c>
      <c r="I20" s="109">
        <f>IFERROR(VLOOKUP(B20,'Runner List'!$B$3:$O$505,12,FALSE),0)</f>
        <v>0.22916666666666666</v>
      </c>
    </row>
    <row r="21" spans="1:9" ht="36" customHeight="1">
      <c r="A21" s="8">
        <v>18</v>
      </c>
      <c r="B21" s="49">
        <v>3316</v>
      </c>
      <c r="C21" s="10" t="str">
        <f>IFERROR(VLOOKUP(B21,'Runner List'!$B$3:$O$505,5,FALSE),0)</f>
        <v>NIPON PATCHARASATID</v>
      </c>
      <c r="D21" s="8" t="str">
        <f>IFERROR(VLOOKUP(B21,'Runner List'!$B$3:$O$505,6,FALSE),0)</f>
        <v>NIPON.P</v>
      </c>
      <c r="E21" s="8" t="str">
        <f>IFERROR(VLOOKUP(B21,'Runner List'!$B$3:$O$505,7,FALSE),0)</f>
        <v>Male</v>
      </c>
      <c r="F21" s="8" t="str">
        <f>IFERROR(VLOOKUP(B21,'Runner List'!$B$3:$O$505,8,FALSE),0)</f>
        <v>40-49</v>
      </c>
      <c r="G21" s="8" t="str">
        <f>IFERROR(VLOOKUP(B21,'Runner List'!$B$3:$O$505,9,FALSE),0)</f>
        <v>Thai</v>
      </c>
      <c r="H21" s="8" t="str">
        <f>IFERROR(VLOOKUP(B21,'Runner List'!$B$3:$O$505,10,FALSE),0)</f>
        <v>MKT33</v>
      </c>
      <c r="I21" s="109">
        <f>IFERROR(VLOOKUP(B21,'Runner List'!$B$3:$O$505,12,FALSE),0)</f>
        <v>0.22916666666666666</v>
      </c>
    </row>
    <row r="22" spans="1:9" ht="36" customHeight="1">
      <c r="A22" s="8">
        <v>19</v>
      </c>
      <c r="B22" s="49">
        <v>3398</v>
      </c>
      <c r="C22" s="10" t="str">
        <f>IFERROR(VLOOKUP(B22,'Runner List'!$B$3:$O$505,5,FALSE),0)</f>
        <v>NUTCHAYA BOONTHUM</v>
      </c>
      <c r="D22" s="8" t="str">
        <f>IFERROR(VLOOKUP(B22,'Runner List'!$B$3:$O$505,6,FALSE),0)</f>
        <v>NUTCHAYA.B</v>
      </c>
      <c r="E22" s="8" t="str">
        <f>IFERROR(VLOOKUP(B22,'Runner List'!$B$3:$O$505,7,FALSE),0)</f>
        <v>Female</v>
      </c>
      <c r="F22" s="8" t="str">
        <f>IFERROR(VLOOKUP(B22,'Runner List'!$B$3:$O$505,8,FALSE),0)</f>
        <v>20-39</v>
      </c>
      <c r="G22" s="8" t="str">
        <f>IFERROR(VLOOKUP(B22,'Runner List'!$B$3:$O$505,9,FALSE),0)</f>
        <v>Thai</v>
      </c>
      <c r="H22" s="8" t="str">
        <f>IFERROR(VLOOKUP(B22,'Runner List'!$B$3:$O$505,10,FALSE),0)</f>
        <v>MKT33</v>
      </c>
      <c r="I22" s="109">
        <f>IFERROR(VLOOKUP(B22,'Runner List'!$B$3:$O$505,12,FALSE),0)</f>
        <v>0.22916666666666666</v>
      </c>
    </row>
    <row r="23" spans="1:9" ht="36" customHeight="1">
      <c r="A23" s="8">
        <v>20</v>
      </c>
      <c r="B23" s="49">
        <v>3399</v>
      </c>
      <c r="C23" s="10" t="str">
        <f>IFERROR(VLOOKUP(B23,'Runner List'!$B$3:$O$505,5,FALSE),0)</f>
        <v>KAMONNUT SUWANNA</v>
      </c>
      <c r="D23" s="8" t="str">
        <f>IFERROR(VLOOKUP(B23,'Runner List'!$B$3:$O$505,6,FALSE),0)</f>
        <v>KAMONNUT.S</v>
      </c>
      <c r="E23" s="8" t="str">
        <f>IFERROR(VLOOKUP(B23,'Runner List'!$B$3:$O$505,7,FALSE),0)</f>
        <v>Male</v>
      </c>
      <c r="F23" s="8" t="str">
        <f>IFERROR(VLOOKUP(B23,'Runner List'!$B$3:$O$505,8,FALSE),0)</f>
        <v>20-39</v>
      </c>
      <c r="G23" s="8" t="str">
        <f>IFERROR(VLOOKUP(B23,'Runner List'!$B$3:$O$505,9,FALSE),0)</f>
        <v>Thai</v>
      </c>
      <c r="H23" s="8" t="str">
        <f>IFERROR(VLOOKUP(B23,'Runner List'!$B$3:$O$505,10,FALSE),0)</f>
        <v>MKT33</v>
      </c>
      <c r="I23" s="109">
        <f>IFERROR(VLOOKUP(B23,'Runner List'!$B$3:$O$505,12,FALSE),0)</f>
        <v>0.22916666666666666</v>
      </c>
    </row>
    <row r="24" spans="1:9" ht="36" customHeight="1">
      <c r="A24" s="8">
        <v>21</v>
      </c>
      <c r="B24" s="49">
        <v>5032</v>
      </c>
      <c r="C24" s="10" t="str">
        <f>IFERROR(VLOOKUP(B24,'Runner List'!$B$3:$O$505,5,FALSE),0)</f>
        <v>MARTIN RIEDINGER</v>
      </c>
      <c r="D24" s="8" t="str">
        <f>IFERROR(VLOOKUP(B24,'Runner List'!$B$3:$O$505,6,FALSE),0)</f>
        <v>MARTIN.R</v>
      </c>
      <c r="E24" s="8" t="str">
        <f>IFERROR(VLOOKUP(B24,'Runner List'!$B$3:$O$505,7,FALSE),0)</f>
        <v>Male</v>
      </c>
      <c r="F24" s="8" t="str">
        <f>IFERROR(VLOOKUP(B24,'Runner List'!$B$3:$O$505,8,FALSE),0)</f>
        <v>40-49</v>
      </c>
      <c r="G24" s="8" t="str">
        <f>IFERROR(VLOOKUP(B24,'Runner List'!$B$3:$O$505,9,FALSE),0)</f>
        <v>German</v>
      </c>
      <c r="H24" s="8" t="str">
        <f>IFERROR(VLOOKUP(B24,'Runner List'!$B$3:$O$505,10,FALSE),0)</f>
        <v>MKT50</v>
      </c>
      <c r="I24" s="109">
        <f>IFERROR(VLOOKUP(B24,'Runner List'!$B$3:$O$505,12,FALSE),0)</f>
        <v>0.20833333333333334</v>
      </c>
    </row>
    <row r="25" spans="1:9" ht="36" customHeight="1">
      <c r="A25" s="8">
        <v>22</v>
      </c>
      <c r="B25" s="49">
        <v>3337</v>
      </c>
      <c r="C25" s="10" t="str">
        <f>IFERROR(VLOOKUP(B25,'Runner List'!$B$3:$O$505,5,FALSE),0)</f>
        <v>CHAIRAT TEEKHASAENEE</v>
      </c>
      <c r="D25" s="8" t="str">
        <f>IFERROR(VLOOKUP(B25,'Runner List'!$B$3:$O$505,6,FALSE),0)</f>
        <v>CHAIRAT.T</v>
      </c>
      <c r="E25" s="8" t="str">
        <f>IFERROR(VLOOKUP(B25,'Runner List'!$B$3:$O$505,7,FALSE),0)</f>
        <v>Male</v>
      </c>
      <c r="F25" s="8" t="str">
        <f>IFERROR(VLOOKUP(B25,'Runner List'!$B$3:$O$505,8,FALSE),0)</f>
        <v>50-59</v>
      </c>
      <c r="G25" s="8" t="str">
        <f>IFERROR(VLOOKUP(B25,'Runner List'!$B$3:$O$505,9,FALSE),0)</f>
        <v>Thai</v>
      </c>
      <c r="H25" s="8" t="str">
        <f>IFERROR(VLOOKUP(B25,'Runner List'!$B$3:$O$505,10,FALSE),0)</f>
        <v>MKT33</v>
      </c>
      <c r="I25" s="109">
        <f>IFERROR(VLOOKUP(B25,'Runner List'!$B$3:$O$505,12,FALSE),0)</f>
        <v>0.22916666666666666</v>
      </c>
    </row>
    <row r="26" spans="1:9" ht="36" customHeight="1">
      <c r="A26" s="8">
        <v>23</v>
      </c>
      <c r="B26" s="49">
        <v>3387</v>
      </c>
      <c r="C26" s="10" t="str">
        <f>IFERROR(VLOOKUP(B26,'Runner List'!$B$3:$O$505,5,FALSE),0)</f>
        <v>PIYAMAD SOMPAMOON</v>
      </c>
      <c r="D26" s="8" t="str">
        <f>IFERROR(VLOOKUP(B26,'Runner List'!$B$3:$O$505,6,FALSE),0)</f>
        <v>PIYAMAD.S</v>
      </c>
      <c r="E26" s="8" t="str">
        <f>IFERROR(VLOOKUP(B26,'Runner List'!$B$3:$O$505,7,FALSE),0)</f>
        <v>Female</v>
      </c>
      <c r="F26" s="8" t="str">
        <f>IFERROR(VLOOKUP(B26,'Runner List'!$B$3:$O$505,8,FALSE),0)</f>
        <v>40-49</v>
      </c>
      <c r="G26" s="8" t="str">
        <f>IFERROR(VLOOKUP(B26,'Runner List'!$B$3:$O$505,9,FALSE),0)</f>
        <v>Thai</v>
      </c>
      <c r="H26" s="8" t="str">
        <f>IFERROR(VLOOKUP(B26,'Runner List'!$B$3:$O$505,10,FALSE),0)</f>
        <v>MKT33</v>
      </c>
      <c r="I26" s="109">
        <f>IFERROR(VLOOKUP(B26,'Runner List'!$B$3:$O$505,12,FALSE),0)</f>
        <v>0.22916666666666666</v>
      </c>
    </row>
    <row r="27" spans="1:9" ht="36" customHeight="1">
      <c r="A27" s="8">
        <v>24</v>
      </c>
      <c r="B27" s="49">
        <v>5024</v>
      </c>
      <c r="C27" s="10" t="str">
        <f>IFERROR(VLOOKUP(B27,'Runner List'!$B$3:$O$505,5,FALSE),0)</f>
        <v>ROSSARIN JINATHAM</v>
      </c>
      <c r="D27" s="8" t="str">
        <f>IFERROR(VLOOKUP(B27,'Runner List'!$B$3:$O$505,6,FALSE),0)</f>
        <v>ROSSARIN.J</v>
      </c>
      <c r="E27" s="8" t="str">
        <f>IFERROR(VLOOKUP(B27,'Runner List'!$B$3:$O$505,7,FALSE),0)</f>
        <v>Female</v>
      </c>
      <c r="F27" s="8" t="str">
        <f>IFERROR(VLOOKUP(B27,'Runner List'!$B$3:$O$505,8,FALSE),0)</f>
        <v>40-49</v>
      </c>
      <c r="G27" s="8" t="str">
        <f>IFERROR(VLOOKUP(B27,'Runner List'!$B$3:$O$505,9,FALSE),0)</f>
        <v>Thai</v>
      </c>
      <c r="H27" s="8" t="str">
        <f>IFERROR(VLOOKUP(B27,'Runner List'!$B$3:$O$505,10,FALSE),0)</f>
        <v>MKT50</v>
      </c>
      <c r="I27" s="109">
        <f>IFERROR(VLOOKUP(B27,'Runner List'!$B$3:$O$505,12,FALSE),0)</f>
        <v>0.20833333333333334</v>
      </c>
    </row>
    <row r="28" spans="1:9" ht="36" customHeight="1">
      <c r="A28" s="8">
        <v>25</v>
      </c>
      <c r="B28" s="49">
        <v>5033</v>
      </c>
      <c r="C28" s="10" t="str">
        <f>IFERROR(VLOOKUP(B28,'Runner List'!$B$3:$O$505,5,FALSE),0)</f>
        <v>THANET THAMMASRIRAK</v>
      </c>
      <c r="D28" s="8" t="str">
        <f>IFERROR(VLOOKUP(B28,'Runner List'!$B$3:$O$505,6,FALSE),0)</f>
        <v>THANET.T</v>
      </c>
      <c r="E28" s="8" t="str">
        <f>IFERROR(VLOOKUP(B28,'Runner List'!$B$3:$O$505,7,FALSE),0)</f>
        <v>Male</v>
      </c>
      <c r="F28" s="8" t="str">
        <f>IFERROR(VLOOKUP(B28,'Runner List'!$B$3:$O$505,8,FALSE),0)</f>
        <v>50-59</v>
      </c>
      <c r="G28" s="8" t="str">
        <f>IFERROR(VLOOKUP(B28,'Runner List'!$B$3:$O$505,9,FALSE),0)</f>
        <v>Thai</v>
      </c>
      <c r="H28" s="8" t="str">
        <f>IFERROR(VLOOKUP(B28,'Runner List'!$B$3:$O$505,10,FALSE),0)</f>
        <v>MKT50</v>
      </c>
      <c r="I28" s="109">
        <f>IFERROR(VLOOKUP(B28,'Runner List'!$B$3:$O$505,12,FALSE),0)</f>
        <v>0.20833333333333334</v>
      </c>
    </row>
    <row r="29" spans="1:9" ht="36" customHeight="1">
      <c r="A29" s="8">
        <v>26</v>
      </c>
      <c r="B29" s="49">
        <v>3329</v>
      </c>
      <c r="C29" s="10" t="str">
        <f>IFERROR(VLOOKUP(B29,'Runner List'!$B$3:$O$505,5,FALSE),0)</f>
        <v>SETTHA PHAIKHAMNAM</v>
      </c>
      <c r="D29" s="8" t="str">
        <f>IFERROR(VLOOKUP(B29,'Runner List'!$B$3:$O$505,6,FALSE),0)</f>
        <v>SETTHA.P</v>
      </c>
      <c r="E29" s="8" t="str">
        <f>IFERROR(VLOOKUP(B29,'Runner List'!$B$3:$O$505,7,FALSE),0)</f>
        <v>Male</v>
      </c>
      <c r="F29" s="8" t="str">
        <f>IFERROR(VLOOKUP(B29,'Runner List'!$B$3:$O$505,8,FALSE),0)</f>
        <v>40-49</v>
      </c>
      <c r="G29" s="8" t="str">
        <f>IFERROR(VLOOKUP(B29,'Runner List'!$B$3:$O$505,9,FALSE),0)</f>
        <v>Thai</v>
      </c>
      <c r="H29" s="8" t="str">
        <f>IFERROR(VLOOKUP(B29,'Runner List'!$B$3:$O$505,10,FALSE),0)</f>
        <v>MKT33</v>
      </c>
      <c r="I29" s="109">
        <f>IFERROR(VLOOKUP(B29,'Runner List'!$B$3:$O$505,12,FALSE),0)</f>
        <v>0.22916666666666666</v>
      </c>
    </row>
    <row r="30" spans="1:9" ht="36" customHeight="1">
      <c r="A30" s="8">
        <v>27</v>
      </c>
      <c r="B30" s="49">
        <v>5035</v>
      </c>
      <c r="C30" s="10" t="str">
        <f>IFERROR(VLOOKUP(B30,'Runner List'!$B$3:$O$505,5,FALSE),0)</f>
        <v>PEERAPON BOONSRISOD</v>
      </c>
      <c r="D30" s="8" t="str">
        <f>IFERROR(VLOOKUP(B30,'Runner List'!$B$3:$O$505,6,FALSE),0)</f>
        <v>PEERAPON.B</v>
      </c>
      <c r="E30" s="8" t="str">
        <f>IFERROR(VLOOKUP(B30,'Runner List'!$B$3:$O$505,7,FALSE),0)</f>
        <v>Male</v>
      </c>
      <c r="F30" s="8" t="str">
        <f>IFERROR(VLOOKUP(B30,'Runner List'!$B$3:$O$505,8,FALSE),0)</f>
        <v>50-59</v>
      </c>
      <c r="G30" s="8" t="str">
        <f>IFERROR(VLOOKUP(B30,'Runner List'!$B$3:$O$505,9,FALSE),0)</f>
        <v>Thai</v>
      </c>
      <c r="H30" s="8" t="str">
        <f>IFERROR(VLOOKUP(B30,'Runner List'!$B$3:$O$505,10,FALSE),0)</f>
        <v>MKT50</v>
      </c>
      <c r="I30" s="109">
        <f>IFERROR(VLOOKUP(B30,'Runner List'!$B$3:$O$505,12,FALSE),0)</f>
        <v>0.20833333333333334</v>
      </c>
    </row>
    <row r="31" spans="1:9" ht="36" customHeight="1">
      <c r="A31" s="8">
        <v>28</v>
      </c>
      <c r="B31" s="49">
        <v>5015</v>
      </c>
      <c r="C31" s="10" t="str">
        <f>IFERROR(VLOOKUP(B31,'Runner List'!$B$3:$O$505,5,FALSE),0)</f>
        <v>JIAMJIT TANOMSAB</v>
      </c>
      <c r="D31" s="8" t="str">
        <f>IFERROR(VLOOKUP(B31,'Runner List'!$B$3:$O$505,6,FALSE),0)</f>
        <v>JIAMJIT.T</v>
      </c>
      <c r="E31" s="8" t="str">
        <f>IFERROR(VLOOKUP(B31,'Runner List'!$B$3:$O$505,7,FALSE),0)</f>
        <v>Female</v>
      </c>
      <c r="F31" s="8" t="str">
        <f>IFERROR(VLOOKUP(B31,'Runner List'!$B$3:$O$505,8,FALSE),0)</f>
        <v>50-59</v>
      </c>
      <c r="G31" s="8" t="str">
        <f>IFERROR(VLOOKUP(B31,'Runner List'!$B$3:$O$505,9,FALSE),0)</f>
        <v>Thai</v>
      </c>
      <c r="H31" s="8" t="str">
        <f>IFERROR(VLOOKUP(B31,'Runner List'!$B$3:$O$505,10,FALSE),0)</f>
        <v>MKT50</v>
      </c>
      <c r="I31" s="109">
        <f>IFERROR(VLOOKUP(B31,'Runner List'!$B$3:$O$505,12,FALSE),0)</f>
        <v>0.20833333333333334</v>
      </c>
    </row>
    <row r="32" spans="1:9" ht="36" customHeight="1">
      <c r="A32" s="8">
        <v>29</v>
      </c>
      <c r="B32" s="49">
        <v>3315</v>
      </c>
      <c r="C32" s="10" t="str">
        <f>IFERROR(VLOOKUP(B32,'Runner List'!$B$3:$O$505,5,FALSE),0)</f>
        <v>SUCHAT PLEESUDJAI</v>
      </c>
      <c r="D32" s="8" t="str">
        <f>IFERROR(VLOOKUP(B32,'Runner List'!$B$3:$O$505,6,FALSE),0)</f>
        <v>SUCHAT.P</v>
      </c>
      <c r="E32" s="8" t="str">
        <f>IFERROR(VLOOKUP(B32,'Runner List'!$B$3:$O$505,7,FALSE),0)</f>
        <v>Male</v>
      </c>
      <c r="F32" s="8" t="str">
        <f>IFERROR(VLOOKUP(B32,'Runner List'!$B$3:$O$505,8,FALSE),0)</f>
        <v>50-59</v>
      </c>
      <c r="G32" s="8" t="str">
        <f>IFERROR(VLOOKUP(B32,'Runner List'!$B$3:$O$505,9,FALSE),0)</f>
        <v>Thai</v>
      </c>
      <c r="H32" s="8" t="str">
        <f>IFERROR(VLOOKUP(B32,'Runner List'!$B$3:$O$505,10,FALSE),0)</f>
        <v>MKT33</v>
      </c>
      <c r="I32" s="109">
        <f>IFERROR(VLOOKUP(B32,'Runner List'!$B$3:$O$505,12,FALSE),0)</f>
        <v>0.22916666666666666</v>
      </c>
    </row>
    <row r="33" spans="1:57" ht="36" customHeight="1">
      <c r="A33" s="8">
        <v>30</v>
      </c>
      <c r="B33" s="49">
        <v>3334</v>
      </c>
      <c r="C33" s="10" t="str">
        <f>IFERROR(VLOOKUP(B33,'Runner List'!$B$3:$O$505,5,FALSE),0)</f>
        <v>KAMONRUT THONGRAK</v>
      </c>
      <c r="D33" s="8" t="str">
        <f>IFERROR(VLOOKUP(B33,'Runner List'!$B$3:$O$505,6,FALSE),0)</f>
        <v>KAMONRUT.T</v>
      </c>
      <c r="E33" s="8" t="str">
        <f>IFERROR(VLOOKUP(B33,'Runner List'!$B$3:$O$505,7,FALSE),0)</f>
        <v>Female</v>
      </c>
      <c r="F33" s="8" t="str">
        <f>IFERROR(VLOOKUP(B33,'Runner List'!$B$3:$O$505,8,FALSE),0)</f>
        <v>20-39</v>
      </c>
      <c r="G33" s="8" t="str">
        <f>IFERROR(VLOOKUP(B33,'Runner List'!$B$3:$O$505,9,FALSE),0)</f>
        <v>Thai</v>
      </c>
      <c r="H33" s="8" t="str">
        <f>IFERROR(VLOOKUP(B33,'Runner List'!$B$3:$O$505,10,FALSE),0)</f>
        <v>MKT33</v>
      </c>
      <c r="I33" s="109">
        <f>IFERROR(VLOOKUP(B33,'Runner List'!$B$3:$O$505,12,FALSE),0)</f>
        <v>0.22916666666666666</v>
      </c>
    </row>
    <row r="34" spans="1:57" ht="36" customHeight="1">
      <c r="A34" s="8">
        <v>31</v>
      </c>
      <c r="B34" s="49">
        <v>3338</v>
      </c>
      <c r="C34" s="10" t="str">
        <f>IFERROR(VLOOKUP(B34,'Runner List'!$B$3:$O$505,5,FALSE),0)</f>
        <v>PANUWAT BUAYOY</v>
      </c>
      <c r="D34" s="8" t="str">
        <f>IFERROR(VLOOKUP(B34,'Runner List'!$B$3:$O$505,6,FALSE),0)</f>
        <v>PANUWAT.B</v>
      </c>
      <c r="E34" s="8" t="str">
        <f>IFERROR(VLOOKUP(B34,'Runner List'!$B$3:$O$505,7,FALSE),0)</f>
        <v>Male</v>
      </c>
      <c r="F34" s="8" t="str">
        <f>IFERROR(VLOOKUP(B34,'Runner List'!$B$3:$O$505,8,FALSE),0)</f>
        <v>20-39</v>
      </c>
      <c r="G34" s="8" t="str">
        <f>IFERROR(VLOOKUP(B34,'Runner List'!$B$3:$O$505,9,FALSE),0)</f>
        <v>Thai</v>
      </c>
      <c r="H34" s="8" t="str">
        <f>IFERROR(VLOOKUP(B34,'Runner List'!$B$3:$O$505,10,FALSE),0)</f>
        <v>MKT33</v>
      </c>
      <c r="I34" s="109">
        <f>IFERROR(VLOOKUP(B34,'Runner List'!$B$3:$O$505,12,FALSE),0)</f>
        <v>0.22916666666666666</v>
      </c>
    </row>
    <row r="35" spans="1:57" ht="36" customHeight="1">
      <c r="A35" s="8">
        <v>32</v>
      </c>
      <c r="B35" s="49">
        <v>3332</v>
      </c>
      <c r="C35" s="10" t="str">
        <f>IFERROR(VLOOKUP(B35,'Runner List'!$B$3:$O$505,5,FALSE),0)</f>
        <v>NIPAWAN JAITANONG</v>
      </c>
      <c r="D35" s="8" t="str">
        <f>IFERROR(VLOOKUP(B35,'Runner List'!$B$3:$O$505,6,FALSE),0)</f>
        <v>NIPAWAN.J</v>
      </c>
      <c r="E35" s="8" t="str">
        <f>IFERROR(VLOOKUP(B35,'Runner List'!$B$3:$O$505,7,FALSE),0)</f>
        <v>Female</v>
      </c>
      <c r="F35" s="8" t="str">
        <f>IFERROR(VLOOKUP(B35,'Runner List'!$B$3:$O$505,8,FALSE),0)</f>
        <v>40-49</v>
      </c>
      <c r="G35" s="8" t="str">
        <f>IFERROR(VLOOKUP(B35,'Runner List'!$B$3:$O$505,9,FALSE),0)</f>
        <v>Thai</v>
      </c>
      <c r="H35" s="8" t="str">
        <f>IFERROR(VLOOKUP(B35,'Runner List'!$B$3:$O$505,10,FALSE),0)</f>
        <v>MKT33</v>
      </c>
      <c r="I35" s="109">
        <f>IFERROR(VLOOKUP(B35,'Runner List'!$B$3:$O$505,12,FALSE),0)</f>
        <v>0.22916666666666666</v>
      </c>
    </row>
    <row r="36" spans="1:57" ht="36" customHeight="1">
      <c r="A36" s="8">
        <v>33</v>
      </c>
      <c r="B36" s="49">
        <v>3328</v>
      </c>
      <c r="C36" s="10" t="str">
        <f>IFERROR(VLOOKUP(B36,'Runner List'!$B$3:$O$505,5,FALSE),0)</f>
        <v>PHAWINEE TIPHAWANG</v>
      </c>
      <c r="D36" s="8" t="str">
        <f>IFERROR(VLOOKUP(B36,'Runner List'!$B$3:$O$505,6,FALSE),0)</f>
        <v>PHAWINEE.T</v>
      </c>
      <c r="E36" s="8" t="str">
        <f>IFERROR(VLOOKUP(B36,'Runner List'!$B$3:$O$505,7,FALSE),0)</f>
        <v>Female</v>
      </c>
      <c r="F36" s="8" t="str">
        <f>IFERROR(VLOOKUP(B36,'Runner List'!$B$3:$O$505,8,FALSE),0)</f>
        <v>20-39</v>
      </c>
      <c r="G36" s="8" t="str">
        <f>IFERROR(VLOOKUP(B36,'Runner List'!$B$3:$O$505,9,FALSE),0)</f>
        <v>Thai</v>
      </c>
      <c r="H36" s="8" t="str">
        <f>IFERROR(VLOOKUP(B36,'Runner List'!$B$3:$O$505,10,FALSE),0)</f>
        <v>MKT33</v>
      </c>
      <c r="I36" s="109">
        <f>IFERROR(VLOOKUP(B36,'Runner List'!$B$3:$O$505,12,FALSE),0)</f>
        <v>0.22916666666666666</v>
      </c>
    </row>
    <row r="37" spans="1:57" ht="36" customHeight="1">
      <c r="A37" s="8">
        <v>34</v>
      </c>
      <c r="B37" s="49">
        <v>3333</v>
      </c>
      <c r="C37" s="10" t="str">
        <f>IFERROR(VLOOKUP(B37,'Runner List'!$B$3:$O$505,5,FALSE),0)</f>
        <v>SOMCHID KANTHAYA</v>
      </c>
      <c r="D37" s="8" t="str">
        <f>IFERROR(VLOOKUP(B37,'Runner List'!$B$3:$O$505,6,FALSE),0)</f>
        <v>SOMCHID.K</v>
      </c>
      <c r="E37" s="8" t="str">
        <f>IFERROR(VLOOKUP(B37,'Runner List'!$B$3:$O$505,7,FALSE),0)</f>
        <v>Male</v>
      </c>
      <c r="F37" s="8" t="str">
        <f>IFERROR(VLOOKUP(B37,'Runner List'!$B$3:$O$505,8,FALSE),0)</f>
        <v>50-59</v>
      </c>
      <c r="G37" s="8" t="str">
        <f>IFERROR(VLOOKUP(B37,'Runner List'!$B$3:$O$505,9,FALSE),0)</f>
        <v>Thai</v>
      </c>
      <c r="H37" s="8" t="str">
        <f>IFERROR(VLOOKUP(B37,'Runner List'!$B$3:$O$505,10,FALSE),0)</f>
        <v>MKT33</v>
      </c>
      <c r="I37" s="109">
        <f>IFERROR(VLOOKUP(B37,'Runner List'!$B$3:$O$505,12,FALSE),0)</f>
        <v>0.22916666666666666</v>
      </c>
    </row>
    <row r="38" spans="1:57" ht="36" customHeight="1">
      <c r="A38" s="8">
        <v>35</v>
      </c>
      <c r="B38" s="49">
        <v>3381</v>
      </c>
      <c r="C38" s="10" t="str">
        <f>IFERROR(VLOOKUP(B38,'Runner List'!$B$3:$O$505,5,FALSE),0)</f>
        <v>JANTARABOON KIANGCHAIPAIPHANA</v>
      </c>
      <c r="D38" s="8" t="str">
        <f>IFERROR(VLOOKUP(B38,'Runner List'!$B$3:$O$505,6,FALSE),0)</f>
        <v>JANTARABOON.K</v>
      </c>
      <c r="E38" s="8" t="str">
        <f>IFERROR(VLOOKUP(B38,'Runner List'!$B$3:$O$505,7,FALSE),0)</f>
        <v>Male</v>
      </c>
      <c r="F38" s="8" t="str">
        <f>IFERROR(VLOOKUP(B38,'Runner List'!$B$3:$O$505,8,FALSE),0)</f>
        <v>20-39</v>
      </c>
      <c r="G38" s="8" t="str">
        <f>IFERROR(VLOOKUP(B38,'Runner List'!$B$3:$O$505,9,FALSE),0)</f>
        <v>Thai</v>
      </c>
      <c r="H38" s="8" t="str">
        <f>IFERROR(VLOOKUP(B38,'Runner List'!$B$3:$O$505,10,FALSE),0)</f>
        <v>MKT33</v>
      </c>
      <c r="I38" s="109">
        <f>IFERROR(VLOOKUP(B38,'Runner List'!$B$3:$O$505,12,FALSE),0)</f>
        <v>0.22916666666666666</v>
      </c>
      <c r="BE38">
        <v>14000</v>
      </c>
    </row>
    <row r="39" spans="1:57" ht="36" customHeight="1">
      <c r="A39" s="8">
        <v>36</v>
      </c>
      <c r="B39" s="49">
        <v>3382</v>
      </c>
      <c r="C39" s="10" t="str">
        <f>IFERROR(VLOOKUP(B39,'Runner List'!$B$3:$O$505,5,FALSE),0)</f>
        <v>KHATTIYA HOMTHONG</v>
      </c>
      <c r="D39" s="8" t="str">
        <f>IFERROR(VLOOKUP(B39,'Runner List'!$B$3:$O$505,6,FALSE),0)</f>
        <v>KHATTIYA.H</v>
      </c>
      <c r="E39" s="8" t="str">
        <f>IFERROR(VLOOKUP(B39,'Runner List'!$B$3:$O$505,7,FALSE),0)</f>
        <v>Female</v>
      </c>
      <c r="F39" s="8" t="str">
        <f>IFERROR(VLOOKUP(B39,'Runner List'!$B$3:$O$505,8,FALSE),0)</f>
        <v>20-39</v>
      </c>
      <c r="G39" s="8" t="str">
        <f>IFERROR(VLOOKUP(B39,'Runner List'!$B$3:$O$505,9,FALSE),0)</f>
        <v>Thai</v>
      </c>
      <c r="H39" s="8" t="str">
        <f>IFERROR(VLOOKUP(B39,'Runner List'!$B$3:$O$505,10,FALSE),0)</f>
        <v>MKT33</v>
      </c>
      <c r="I39" s="109">
        <f>IFERROR(VLOOKUP(B39,'Runner List'!$B$3:$O$505,12,FALSE),0)</f>
        <v>0.22916666666666666</v>
      </c>
    </row>
    <row r="40" spans="1:57" ht="36" customHeight="1">
      <c r="A40" s="8">
        <v>37</v>
      </c>
      <c r="B40" s="49">
        <v>5028</v>
      </c>
      <c r="C40" s="10" t="str">
        <f>IFERROR(VLOOKUP(B40,'Runner List'!$B$3:$O$505,5,FALSE),0)</f>
        <v>ANEK PATTAMALUM</v>
      </c>
      <c r="D40" s="8" t="str">
        <f>IFERROR(VLOOKUP(B40,'Runner List'!$B$3:$O$505,6,FALSE),0)</f>
        <v>ANEK.P</v>
      </c>
      <c r="E40" s="8" t="str">
        <f>IFERROR(VLOOKUP(B40,'Runner List'!$B$3:$O$505,7,FALSE),0)</f>
        <v>Male</v>
      </c>
      <c r="F40" s="8" t="str">
        <f>IFERROR(VLOOKUP(B40,'Runner List'!$B$3:$O$505,8,FALSE),0)</f>
        <v>50-59</v>
      </c>
      <c r="G40" s="8" t="str">
        <f>IFERROR(VLOOKUP(B40,'Runner List'!$B$3:$O$505,9,FALSE),0)</f>
        <v>Thai</v>
      </c>
      <c r="H40" s="8" t="str">
        <f>IFERROR(VLOOKUP(B40,'Runner List'!$B$3:$O$505,10,FALSE),0)</f>
        <v>MKT50</v>
      </c>
      <c r="I40" s="109">
        <f>IFERROR(VLOOKUP(B40,'Runner List'!$B$3:$O$505,12,FALSE),0)</f>
        <v>0.20833333333333334</v>
      </c>
    </row>
    <row r="41" spans="1:57" ht="36" customHeight="1">
      <c r="A41" s="8">
        <v>38</v>
      </c>
      <c r="B41" s="49">
        <v>3393</v>
      </c>
      <c r="C41" s="10" t="str">
        <f>IFERROR(VLOOKUP(B41,'Runner List'!$B$3:$O$505,5,FALSE),0)</f>
        <v>CHANKKAPHUN PUNTA</v>
      </c>
      <c r="D41" s="8" t="str">
        <f>IFERROR(VLOOKUP(B41,'Runner List'!$B$3:$O$505,6,FALSE),0)</f>
        <v>CHANKKAPHUN.P</v>
      </c>
      <c r="E41" s="8" t="str">
        <f>IFERROR(VLOOKUP(B41,'Runner List'!$B$3:$O$505,7,FALSE),0)</f>
        <v>Male</v>
      </c>
      <c r="F41" s="8" t="str">
        <f>IFERROR(VLOOKUP(B41,'Runner List'!$B$3:$O$505,8,FALSE),0)</f>
        <v>40-49</v>
      </c>
      <c r="G41" s="8" t="str">
        <f>IFERROR(VLOOKUP(B41,'Runner List'!$B$3:$O$505,9,FALSE),0)</f>
        <v>Thai</v>
      </c>
      <c r="H41" s="8" t="str">
        <f>IFERROR(VLOOKUP(B41,'Runner List'!$B$3:$O$505,10,FALSE),0)</f>
        <v>MKT33</v>
      </c>
      <c r="I41" s="109">
        <f>IFERROR(VLOOKUP(B41,'Runner List'!$B$3:$O$505,12,FALSE),0)</f>
        <v>0.22916666666666666</v>
      </c>
    </row>
    <row r="42" spans="1:57" ht="36" customHeight="1">
      <c r="A42" s="8">
        <v>39</v>
      </c>
      <c r="B42" s="49">
        <v>5034</v>
      </c>
      <c r="C42" s="10" t="str">
        <f>IFERROR(VLOOKUP(B42,'Runner List'!$B$3:$O$505,5,FALSE),0)</f>
        <v>JEERAPHAN NONTAKA</v>
      </c>
      <c r="D42" s="8" t="str">
        <f>IFERROR(VLOOKUP(B42,'Runner List'!$B$3:$O$505,6,FALSE),0)</f>
        <v>JEERAPHAN.N</v>
      </c>
      <c r="E42" s="8" t="str">
        <f>IFERROR(VLOOKUP(B42,'Runner List'!$B$3:$O$505,7,FALSE),0)</f>
        <v>Male</v>
      </c>
      <c r="F42" s="8" t="str">
        <f>IFERROR(VLOOKUP(B42,'Runner List'!$B$3:$O$505,8,FALSE),0)</f>
        <v>20-39</v>
      </c>
      <c r="G42" s="8" t="str">
        <f>IFERROR(VLOOKUP(B42,'Runner List'!$B$3:$O$505,9,FALSE),0)</f>
        <v>Thai</v>
      </c>
      <c r="H42" s="8" t="str">
        <f>IFERROR(VLOOKUP(B42,'Runner List'!$B$3:$O$505,10,FALSE),0)</f>
        <v>MKT50</v>
      </c>
      <c r="I42" s="109">
        <f>IFERROR(VLOOKUP(B42,'Runner List'!$B$3:$O$505,12,FALSE),0)</f>
        <v>0.20833333333333334</v>
      </c>
    </row>
    <row r="43" spans="1:57" ht="36" customHeight="1">
      <c r="A43" s="8">
        <v>40</v>
      </c>
      <c r="B43" s="49">
        <v>3322</v>
      </c>
      <c r="C43" s="10" t="str">
        <f>IFERROR(VLOOKUP(B43,'Runner List'!$B$3:$O$505,5,FALSE),0)</f>
        <v>TEERAPONG TUMMAPAN</v>
      </c>
      <c r="D43" s="8" t="str">
        <f>IFERROR(VLOOKUP(B43,'Runner List'!$B$3:$O$505,6,FALSE),0)</f>
        <v>TEERAPONG.T</v>
      </c>
      <c r="E43" s="8" t="str">
        <f>IFERROR(VLOOKUP(B43,'Runner List'!$B$3:$O$505,7,FALSE),0)</f>
        <v>Male</v>
      </c>
      <c r="F43" s="8" t="str">
        <f>IFERROR(VLOOKUP(B43,'Runner List'!$B$3:$O$505,8,FALSE),0)</f>
        <v>20-39</v>
      </c>
      <c r="G43" s="8" t="str">
        <f>IFERROR(VLOOKUP(B43,'Runner List'!$B$3:$O$505,9,FALSE),0)</f>
        <v>Thai</v>
      </c>
      <c r="H43" s="8" t="str">
        <f>IFERROR(VLOOKUP(B43,'Runner List'!$B$3:$O$505,10,FALSE),0)</f>
        <v>MKT33</v>
      </c>
      <c r="I43" s="109">
        <f>IFERROR(VLOOKUP(B43,'Runner List'!$B$3:$O$505,12,FALSE),0)</f>
        <v>0.22916666666666666</v>
      </c>
    </row>
    <row r="44" spans="1:57" ht="36" customHeight="1">
      <c r="A44" s="8">
        <v>41</v>
      </c>
      <c r="B44" s="49">
        <v>3380</v>
      </c>
      <c r="C44" s="10" t="str">
        <f>IFERROR(VLOOKUP(B44,'Runner List'!$B$3:$O$505,5,FALSE),0)</f>
        <v>AIYADA KULTAKHAM</v>
      </c>
      <c r="D44" s="8" t="str">
        <f>IFERROR(VLOOKUP(B44,'Runner List'!$B$3:$O$505,6,FALSE),0)</f>
        <v>AIYADA.K</v>
      </c>
      <c r="E44" s="8" t="str">
        <f>IFERROR(VLOOKUP(B44,'Runner List'!$B$3:$O$505,7,FALSE),0)</f>
        <v>Female</v>
      </c>
      <c r="F44" s="8" t="str">
        <f>IFERROR(VLOOKUP(B44,'Runner List'!$B$3:$O$505,8,FALSE),0)</f>
        <v>40-49</v>
      </c>
      <c r="G44" s="8" t="str">
        <f>IFERROR(VLOOKUP(B44,'Runner List'!$B$3:$O$505,9,FALSE),0)</f>
        <v>Thai</v>
      </c>
      <c r="H44" s="8" t="str">
        <f>IFERROR(VLOOKUP(B44,'Runner List'!$B$3:$O$505,10,FALSE),0)</f>
        <v>MKT33</v>
      </c>
      <c r="I44" s="109">
        <f>IFERROR(VLOOKUP(B44,'Runner List'!$B$3:$O$505,12,FALSE),0)</f>
        <v>0.22916666666666666</v>
      </c>
    </row>
    <row r="45" spans="1:57" ht="36" customHeight="1">
      <c r="A45" s="8">
        <v>42</v>
      </c>
      <c r="B45" s="49">
        <v>3366</v>
      </c>
      <c r="C45" s="10" t="str">
        <f>IFERROR(VLOOKUP(B45,'Runner List'!$B$3:$O$505,5,FALSE),0)</f>
        <v>SUPAROEK NIYOMKARN</v>
      </c>
      <c r="D45" s="8" t="str">
        <f>IFERROR(VLOOKUP(B45,'Runner List'!$B$3:$O$505,6,FALSE),0)</f>
        <v>SUPAROEK.N</v>
      </c>
      <c r="E45" s="8" t="str">
        <f>IFERROR(VLOOKUP(B45,'Runner List'!$B$3:$O$505,7,FALSE),0)</f>
        <v>Male</v>
      </c>
      <c r="F45" s="8" t="str">
        <f>IFERROR(VLOOKUP(B45,'Runner List'!$B$3:$O$505,8,FALSE),0)</f>
        <v>20-39</v>
      </c>
      <c r="G45" s="8" t="str">
        <f>IFERROR(VLOOKUP(B45,'Runner List'!$B$3:$O$505,9,FALSE),0)</f>
        <v>Thai</v>
      </c>
      <c r="H45" s="8" t="str">
        <f>IFERROR(VLOOKUP(B45,'Runner List'!$B$3:$O$505,10,FALSE),0)</f>
        <v>MKT33</v>
      </c>
      <c r="I45" s="109">
        <f>IFERROR(VLOOKUP(B45,'Runner List'!$B$3:$O$505,12,FALSE),0)</f>
        <v>0.22916666666666666</v>
      </c>
    </row>
    <row r="46" spans="1:57" ht="36" customHeight="1">
      <c r="A46" s="8">
        <v>43</v>
      </c>
      <c r="B46" s="49">
        <v>5040</v>
      </c>
      <c r="C46" s="10" t="str">
        <f>IFERROR(VLOOKUP(B46,'Runner List'!$B$3:$O$505,5,FALSE),0)</f>
        <v>ROBERT MCCONNON</v>
      </c>
      <c r="D46" s="8" t="str">
        <f>IFERROR(VLOOKUP(B46,'Runner List'!$B$3:$O$505,6,FALSE),0)</f>
        <v>ROBERT.M</v>
      </c>
      <c r="E46" s="8" t="str">
        <f>IFERROR(VLOOKUP(B46,'Runner List'!$B$3:$O$505,7,FALSE),0)</f>
        <v>Male</v>
      </c>
      <c r="F46" s="8" t="str">
        <f>IFERROR(VLOOKUP(B46,'Runner List'!$B$3:$O$505,8,FALSE),0)</f>
        <v>40-49</v>
      </c>
      <c r="G46" s="8" t="str">
        <f>IFERROR(VLOOKUP(B46,'Runner List'!$B$3:$O$505,9,FALSE),0)</f>
        <v>Australia</v>
      </c>
      <c r="H46" s="8" t="str">
        <f>IFERROR(VLOOKUP(B46,'Runner List'!$B$3:$O$505,10,FALSE),0)</f>
        <v>MKT50</v>
      </c>
      <c r="I46" s="109">
        <f>IFERROR(VLOOKUP(B46,'Runner List'!$B$3:$O$505,12,FALSE),0)</f>
        <v>0.20833333333333334</v>
      </c>
    </row>
    <row r="47" spans="1:57" ht="36" customHeight="1">
      <c r="A47" s="8">
        <v>44</v>
      </c>
      <c r="B47" s="49">
        <v>3386</v>
      </c>
      <c r="C47" s="10" t="str">
        <f>IFERROR(VLOOKUP(B47,'Runner List'!$B$3:$O$505,5,FALSE),0)</f>
        <v>ARTITH KORKIETSOPA</v>
      </c>
      <c r="D47" s="8" t="str">
        <f>IFERROR(VLOOKUP(B47,'Runner List'!$B$3:$O$505,6,FALSE),0)</f>
        <v>ARTITH.K</v>
      </c>
      <c r="E47" s="8" t="str">
        <f>IFERROR(VLOOKUP(B47,'Runner List'!$B$3:$O$505,7,FALSE),0)</f>
        <v>Male</v>
      </c>
      <c r="F47" s="8" t="str">
        <f>IFERROR(VLOOKUP(B47,'Runner List'!$B$3:$O$505,8,FALSE),0)</f>
        <v>20-39</v>
      </c>
      <c r="G47" s="8" t="str">
        <f>IFERROR(VLOOKUP(B47,'Runner List'!$B$3:$O$505,9,FALSE),0)</f>
        <v>Thai</v>
      </c>
      <c r="H47" s="8" t="str">
        <f>IFERROR(VLOOKUP(B47,'Runner List'!$B$3:$O$505,10,FALSE),0)</f>
        <v>MKT33</v>
      </c>
      <c r="I47" s="109">
        <f>IFERROR(VLOOKUP(B47,'Runner List'!$B$3:$O$505,12,FALSE),0)</f>
        <v>0.22916666666666666</v>
      </c>
    </row>
    <row r="48" spans="1:57" ht="36" customHeight="1">
      <c r="A48" s="8">
        <v>45</v>
      </c>
      <c r="B48" s="49">
        <v>3363</v>
      </c>
      <c r="C48" s="10" t="str">
        <f>IFERROR(VLOOKUP(B48,'Runner List'!$B$3:$O$505,5,FALSE),0)</f>
        <v>KAMOL SUKWANG</v>
      </c>
      <c r="D48" s="8" t="str">
        <f>IFERROR(VLOOKUP(B48,'Runner List'!$B$3:$O$505,6,FALSE),0)</f>
        <v>KAMOL.S</v>
      </c>
      <c r="E48" s="8" t="str">
        <f>IFERROR(VLOOKUP(B48,'Runner List'!$B$3:$O$505,7,FALSE),0)</f>
        <v>Male</v>
      </c>
      <c r="F48" s="8" t="str">
        <f>IFERROR(VLOOKUP(B48,'Runner List'!$B$3:$O$505,8,FALSE),0)</f>
        <v>40-49</v>
      </c>
      <c r="G48" s="8" t="str">
        <f>IFERROR(VLOOKUP(B48,'Runner List'!$B$3:$O$505,9,FALSE),0)</f>
        <v>Thai</v>
      </c>
      <c r="H48" s="8" t="str">
        <f>IFERROR(VLOOKUP(B48,'Runner List'!$B$3:$O$505,10,FALSE),0)</f>
        <v>MKT33</v>
      </c>
      <c r="I48" s="109">
        <f>IFERROR(VLOOKUP(B48,'Runner List'!$B$3:$O$505,12,FALSE),0)</f>
        <v>0.22916666666666666</v>
      </c>
    </row>
    <row r="49" spans="1:9" ht="36" customHeight="1">
      <c r="A49" s="8">
        <v>46</v>
      </c>
      <c r="B49" s="49">
        <v>5018</v>
      </c>
      <c r="C49" s="10" t="str">
        <f>IFERROR(VLOOKUP(B49,'Runner List'!$B$3:$O$505,5,FALSE),0)</f>
        <v>MANOP MAEJIT</v>
      </c>
      <c r="D49" s="8" t="str">
        <f>IFERROR(VLOOKUP(B49,'Runner List'!$B$3:$O$505,6,FALSE),0)</f>
        <v>MANOP.M</v>
      </c>
      <c r="E49" s="8" t="str">
        <f>IFERROR(VLOOKUP(B49,'Runner List'!$B$3:$O$505,7,FALSE),0)</f>
        <v>Male</v>
      </c>
      <c r="F49" s="8" t="str">
        <f>IFERROR(VLOOKUP(B49,'Runner List'!$B$3:$O$505,8,FALSE),0)</f>
        <v>40-49</v>
      </c>
      <c r="G49" s="8" t="str">
        <f>IFERROR(VLOOKUP(B49,'Runner List'!$B$3:$O$505,9,FALSE),0)</f>
        <v>Thai</v>
      </c>
      <c r="H49" s="8" t="str">
        <f>IFERROR(VLOOKUP(B49,'Runner List'!$B$3:$O$505,10,FALSE),0)</f>
        <v>MKT50</v>
      </c>
      <c r="I49" s="109">
        <f>IFERROR(VLOOKUP(B49,'Runner List'!$B$3:$O$505,12,FALSE),0)</f>
        <v>0.20833333333333334</v>
      </c>
    </row>
    <row r="50" spans="1:9" ht="36" customHeight="1">
      <c r="A50" s="8">
        <v>47</v>
      </c>
      <c r="B50" s="49">
        <v>5049</v>
      </c>
      <c r="C50" s="10" t="str">
        <f>IFERROR(VLOOKUP(B50,'Runner List'!$B$3:$O$505,5,FALSE),0)</f>
        <v>SURAPONG PORNPRADIT</v>
      </c>
      <c r="D50" s="8" t="str">
        <f>IFERROR(VLOOKUP(B50,'Runner List'!$B$3:$O$505,6,FALSE),0)</f>
        <v>SURAPONG PORNPRADIT</v>
      </c>
      <c r="E50" s="8" t="str">
        <f>IFERROR(VLOOKUP(B50,'Runner List'!$B$3:$O$505,7,FALSE),0)</f>
        <v>Male</v>
      </c>
      <c r="F50" s="8" t="str">
        <f>IFERROR(VLOOKUP(B50,'Runner List'!$B$3:$O$505,8,FALSE),0)</f>
        <v>60 Plus</v>
      </c>
      <c r="G50" s="8" t="str">
        <f>IFERROR(VLOOKUP(B50,'Runner List'!$B$3:$O$505,9,FALSE),0)</f>
        <v>Thai</v>
      </c>
      <c r="H50" s="8" t="str">
        <f>IFERROR(VLOOKUP(B50,'Runner List'!$B$3:$O$505,10,FALSE),0)</f>
        <v>MKT50</v>
      </c>
      <c r="I50" s="109">
        <f>IFERROR(VLOOKUP(B50,'Runner List'!$B$3:$O$505,12,FALSE),0)</f>
        <v>0.20833333333333334</v>
      </c>
    </row>
    <row r="51" spans="1:9" ht="36" customHeight="1">
      <c r="A51" s="8">
        <v>48</v>
      </c>
      <c r="B51" s="49">
        <v>3363</v>
      </c>
      <c r="C51" s="10" t="str">
        <f>IFERROR(VLOOKUP(B51,'Runner List'!$B$3:$O$505,5,FALSE),0)</f>
        <v>KAMOL SUKWANG</v>
      </c>
      <c r="D51" s="8" t="str">
        <f>IFERROR(VLOOKUP(B51,'Runner List'!$B$3:$O$505,6,FALSE),0)</f>
        <v>KAMOL.S</v>
      </c>
      <c r="E51" s="8" t="str">
        <f>IFERROR(VLOOKUP(B51,'Runner List'!$B$3:$O$505,7,FALSE),0)</f>
        <v>Male</v>
      </c>
      <c r="F51" s="8" t="str">
        <f>IFERROR(VLOOKUP(B51,'Runner List'!$B$3:$O$505,8,FALSE),0)</f>
        <v>40-49</v>
      </c>
      <c r="G51" s="8" t="str">
        <f>IFERROR(VLOOKUP(B51,'Runner List'!$B$3:$O$505,9,FALSE),0)</f>
        <v>Thai</v>
      </c>
      <c r="H51" s="8" t="str">
        <f>IFERROR(VLOOKUP(B51,'Runner List'!$B$3:$O$505,10,FALSE),0)</f>
        <v>MKT33</v>
      </c>
      <c r="I51" s="109">
        <f>IFERROR(VLOOKUP(B51,'Runner List'!$B$3:$O$505,12,FALSE),0)</f>
        <v>0.22916666666666666</v>
      </c>
    </row>
    <row r="52" spans="1:9" ht="36" customHeight="1">
      <c r="A52" s="8">
        <v>49</v>
      </c>
      <c r="B52" s="49">
        <v>3360</v>
      </c>
      <c r="C52" s="10" t="str">
        <f>IFERROR(VLOOKUP(B52,'Runner List'!$B$3:$O$505,5,FALSE),0)</f>
        <v>SOMSIR LABBUDA</v>
      </c>
      <c r="D52" s="8" t="str">
        <f>IFERROR(VLOOKUP(B52,'Runner List'!$B$3:$O$505,6,FALSE),0)</f>
        <v>SOMSIR.L</v>
      </c>
      <c r="E52" s="8" t="str">
        <f>IFERROR(VLOOKUP(B52,'Runner List'!$B$3:$O$505,7,FALSE),0)</f>
        <v>LGBTIQAN+</v>
      </c>
      <c r="F52" s="8" t="str">
        <f>IFERROR(VLOOKUP(B52,'Runner List'!$B$3:$O$505,8,FALSE),0)</f>
        <v>20-39</v>
      </c>
      <c r="G52" s="8" t="str">
        <f>IFERROR(VLOOKUP(B52,'Runner List'!$B$3:$O$505,9,FALSE),0)</f>
        <v>Thai</v>
      </c>
      <c r="H52" s="8" t="str">
        <f>IFERROR(VLOOKUP(B52,'Runner List'!$B$3:$O$505,10,FALSE),0)</f>
        <v>MKT33</v>
      </c>
      <c r="I52" s="109">
        <f>IFERROR(VLOOKUP(B52,'Runner List'!$B$3:$O$505,12,FALSE),0)</f>
        <v>0.22916666666666666</v>
      </c>
    </row>
    <row r="53" spans="1:9" ht="36" customHeight="1">
      <c r="A53" s="8">
        <v>50</v>
      </c>
      <c r="B53" s="49">
        <v>3358</v>
      </c>
      <c r="C53" s="10" t="str">
        <f>IFERROR(VLOOKUP(B53,'Runner List'!$B$3:$O$505,5,FALSE),0)</f>
        <v>SIRIWAN PHOMIN</v>
      </c>
      <c r="D53" s="8" t="str">
        <f>IFERROR(VLOOKUP(B53,'Runner List'!$B$3:$O$505,6,FALSE),0)</f>
        <v>SIRIWAN.P</v>
      </c>
      <c r="E53" s="8" t="str">
        <f>IFERROR(VLOOKUP(B53,'Runner List'!$B$3:$O$505,7,FALSE),0)</f>
        <v>LGBTIQAN+</v>
      </c>
      <c r="F53" s="8" t="str">
        <f>IFERROR(VLOOKUP(B53,'Runner List'!$B$3:$O$505,8,FALSE),0)</f>
        <v>20-39</v>
      </c>
      <c r="G53" s="8" t="str">
        <f>IFERROR(VLOOKUP(B53,'Runner List'!$B$3:$O$505,9,FALSE),0)</f>
        <v>Thai</v>
      </c>
      <c r="H53" s="8" t="str">
        <f>IFERROR(VLOOKUP(B53,'Runner List'!$B$3:$O$505,10,FALSE),0)</f>
        <v>MKT33</v>
      </c>
      <c r="I53" s="109">
        <f>IFERROR(VLOOKUP(B53,'Runner List'!$B$3:$O$505,12,FALSE),0)</f>
        <v>0.22916666666666666</v>
      </c>
    </row>
    <row r="54" spans="1:9" ht="36" customHeight="1">
      <c r="A54" s="8">
        <v>51</v>
      </c>
      <c r="B54" s="49">
        <v>3357</v>
      </c>
      <c r="C54" s="10" t="str">
        <f>IFERROR(VLOOKUP(B54,'Runner List'!$B$3:$O$505,5,FALSE),0)</f>
        <v>VEERAWN WANNA</v>
      </c>
      <c r="D54" s="8" t="str">
        <f>IFERROR(VLOOKUP(B54,'Runner List'!$B$3:$O$505,6,FALSE),0)</f>
        <v>VEERAWN.W</v>
      </c>
      <c r="E54" s="8" t="str">
        <f>IFERROR(VLOOKUP(B54,'Runner List'!$B$3:$O$505,7,FALSE),0)</f>
        <v>LGBTIQAN+</v>
      </c>
      <c r="F54" s="8" t="str">
        <f>IFERROR(VLOOKUP(B54,'Runner List'!$B$3:$O$505,8,FALSE),0)</f>
        <v>50-59</v>
      </c>
      <c r="G54" s="8" t="str">
        <f>IFERROR(VLOOKUP(B54,'Runner List'!$B$3:$O$505,9,FALSE),0)</f>
        <v>Thai</v>
      </c>
      <c r="H54" s="8" t="str">
        <f>IFERROR(VLOOKUP(B54,'Runner List'!$B$3:$O$505,10,FALSE),0)</f>
        <v>MKT33</v>
      </c>
      <c r="I54" s="109">
        <f>IFERROR(VLOOKUP(B54,'Runner List'!$B$3:$O$505,12,FALSE),0)</f>
        <v>0.22916666666666666</v>
      </c>
    </row>
    <row r="55" spans="1:9" ht="36" customHeight="1">
      <c r="A55" s="8">
        <v>52</v>
      </c>
      <c r="B55" s="49">
        <v>3356</v>
      </c>
      <c r="C55" s="10" t="str">
        <f>IFERROR(VLOOKUP(B55,'Runner List'!$B$3:$O$505,5,FALSE),0)</f>
        <v>MATCHA PHORIN</v>
      </c>
      <c r="D55" s="8" t="str">
        <f>IFERROR(VLOOKUP(B55,'Runner List'!$B$3:$O$505,6,FALSE),0)</f>
        <v>MATCHA.P</v>
      </c>
      <c r="E55" s="8" t="str">
        <f>IFERROR(VLOOKUP(B55,'Runner List'!$B$3:$O$505,7,FALSE),0)</f>
        <v>LGBTIQAN+</v>
      </c>
      <c r="F55" s="8" t="str">
        <f>IFERROR(VLOOKUP(B55,'Runner List'!$B$3:$O$505,8,FALSE),0)</f>
        <v>40-49</v>
      </c>
      <c r="G55" s="8" t="str">
        <f>IFERROR(VLOOKUP(B55,'Runner List'!$B$3:$O$505,9,FALSE),0)</f>
        <v>Thai</v>
      </c>
      <c r="H55" s="8" t="str">
        <f>IFERROR(VLOOKUP(B55,'Runner List'!$B$3:$O$505,10,FALSE),0)</f>
        <v>MKT33</v>
      </c>
      <c r="I55" s="109">
        <f>IFERROR(VLOOKUP(B55,'Runner List'!$B$3:$O$505,12,FALSE),0)</f>
        <v>0.22916666666666666</v>
      </c>
    </row>
    <row r="56" spans="1:9" ht="36" customHeight="1">
      <c r="A56" s="8">
        <v>53</v>
      </c>
      <c r="B56" s="49">
        <v>3389</v>
      </c>
      <c r="C56" s="10" t="str">
        <f>IFERROR(VLOOKUP(B56,'Runner List'!$B$3:$O$505,5,FALSE),0)</f>
        <v>PANUPONG THAWAI</v>
      </c>
      <c r="D56" s="8" t="str">
        <f>IFERROR(VLOOKUP(B56,'Runner List'!$B$3:$O$505,6,FALSE),0)</f>
        <v>PANUPONG.T</v>
      </c>
      <c r="E56" s="8" t="str">
        <f>IFERROR(VLOOKUP(B56,'Runner List'!$B$3:$O$505,7,FALSE),0)</f>
        <v>Male</v>
      </c>
      <c r="F56" s="8" t="str">
        <f>IFERROR(VLOOKUP(B56,'Runner List'!$B$3:$O$505,8,FALSE),0)</f>
        <v>20-39</v>
      </c>
      <c r="G56" s="8" t="str">
        <f>IFERROR(VLOOKUP(B56,'Runner List'!$B$3:$O$505,9,FALSE),0)</f>
        <v>Thai</v>
      </c>
      <c r="H56" s="8" t="str">
        <f>IFERROR(VLOOKUP(B56,'Runner List'!$B$3:$O$505,10,FALSE),0)</f>
        <v>MKT33</v>
      </c>
      <c r="I56" s="109">
        <f>IFERROR(VLOOKUP(B56,'Runner List'!$B$3:$O$505,12,FALSE),0)</f>
        <v>0.22916666666666666</v>
      </c>
    </row>
    <row r="57" spans="1:9" ht="36" customHeight="1">
      <c r="A57" s="8">
        <v>54</v>
      </c>
      <c r="B57" s="49">
        <v>3323</v>
      </c>
      <c r="C57" s="10" t="str">
        <f>IFERROR(VLOOKUP(B57,'Runner List'!$B$3:$O$505,5,FALSE),0)</f>
        <v>PEAMSOOK KUNTASEEMA</v>
      </c>
      <c r="D57" s="8" t="str">
        <f>IFERROR(VLOOKUP(B57,'Runner List'!$B$3:$O$505,6,FALSE),0)</f>
        <v>PEAMSOOK.K</v>
      </c>
      <c r="E57" s="8" t="str">
        <f>IFERROR(VLOOKUP(B57,'Runner List'!$B$3:$O$505,7,FALSE),0)</f>
        <v>Male</v>
      </c>
      <c r="F57" s="8" t="str">
        <f>IFERROR(VLOOKUP(B57,'Runner List'!$B$3:$O$505,8,FALSE),0)</f>
        <v>20-39</v>
      </c>
      <c r="G57" s="8" t="str">
        <f>IFERROR(VLOOKUP(B57,'Runner List'!$B$3:$O$505,9,FALSE),0)</f>
        <v>Thai</v>
      </c>
      <c r="H57" s="8" t="str">
        <f>IFERROR(VLOOKUP(B57,'Runner List'!$B$3:$O$505,10,FALSE),0)</f>
        <v>MKT33</v>
      </c>
      <c r="I57" s="109">
        <f>IFERROR(VLOOKUP(B57,'Runner List'!$B$3:$O$505,12,FALSE),0)</f>
        <v>0.22916666666666666</v>
      </c>
    </row>
    <row r="58" spans="1:9" ht="36" customHeight="1">
      <c r="A58" s="8">
        <v>55</v>
      </c>
      <c r="B58" s="49">
        <v>3364</v>
      </c>
      <c r="C58" s="10" t="str">
        <f>IFERROR(VLOOKUP(B58,'Runner List'!$B$3:$O$505,5,FALSE),0)</f>
        <v>EMMANUEL ABADIE</v>
      </c>
      <c r="D58" s="8" t="str">
        <f>IFERROR(VLOOKUP(B58,'Runner List'!$B$3:$O$505,6,FALSE),0)</f>
        <v>EMMANUEL.A</v>
      </c>
      <c r="E58" s="8" t="str">
        <f>IFERROR(VLOOKUP(B58,'Runner List'!$B$3:$O$505,7,FALSE),0)</f>
        <v>Male</v>
      </c>
      <c r="F58" s="8" t="str">
        <f>IFERROR(VLOOKUP(B58,'Runner List'!$B$3:$O$505,8,FALSE),0)</f>
        <v>20-39</v>
      </c>
      <c r="G58" s="8" t="str">
        <f>IFERROR(VLOOKUP(B58,'Runner List'!$B$3:$O$505,9,FALSE),0)</f>
        <v>French</v>
      </c>
      <c r="H58" s="8" t="str">
        <f>IFERROR(VLOOKUP(B58,'Runner List'!$B$3:$O$505,10,FALSE),0)</f>
        <v>MKT33</v>
      </c>
      <c r="I58" s="109">
        <f>IFERROR(VLOOKUP(B58,'Runner List'!$B$3:$O$505,12,FALSE),0)</f>
        <v>0.22916666666666666</v>
      </c>
    </row>
    <row r="59" spans="1:9" ht="36" customHeight="1">
      <c r="A59" s="8">
        <v>56</v>
      </c>
      <c r="B59" s="49">
        <v>3342</v>
      </c>
      <c r="C59" s="10" t="str">
        <f>IFERROR(VLOOKUP(B59,'Runner List'!$B$3:$O$505,5,FALSE),0)</f>
        <v>DAN KOOTTATEP</v>
      </c>
      <c r="D59" s="8" t="str">
        <f>IFERROR(VLOOKUP(B59,'Runner List'!$B$3:$O$505,6,FALSE),0)</f>
        <v>DAN KOOTTATEP</v>
      </c>
      <c r="E59" s="8" t="str">
        <f>IFERROR(VLOOKUP(B59,'Runner List'!$B$3:$O$505,7,FALSE),0)</f>
        <v>Male</v>
      </c>
      <c r="F59" s="8" t="str">
        <f>IFERROR(VLOOKUP(B59,'Runner List'!$B$3:$O$505,8,FALSE),0)</f>
        <v>40-49</v>
      </c>
      <c r="G59" s="8" t="str">
        <f>IFERROR(VLOOKUP(B59,'Runner List'!$B$3:$O$505,9,FALSE),0)</f>
        <v>Norwegian</v>
      </c>
      <c r="H59" s="8" t="str">
        <f>IFERROR(VLOOKUP(B59,'Runner List'!$B$3:$O$505,10,FALSE),0)</f>
        <v>MKT33</v>
      </c>
      <c r="I59" s="109">
        <f>IFERROR(VLOOKUP(B59,'Runner List'!$B$3:$O$505,12,FALSE),0)</f>
        <v>0.22916666666666666</v>
      </c>
    </row>
    <row r="60" spans="1:9" ht="36" customHeight="1">
      <c r="A60" s="8">
        <v>57</v>
      </c>
      <c r="B60" s="49">
        <v>3343</v>
      </c>
      <c r="C60" s="10" t="str">
        <f>IFERROR(VLOOKUP(B60,'Runner List'!$B$3:$O$505,5,FALSE),0)</f>
        <v>RATAPORN TIPMONTREE</v>
      </c>
      <c r="D60" s="8" t="str">
        <f>IFERROR(VLOOKUP(B60,'Runner List'!$B$3:$O$505,6,FALSE),0)</f>
        <v>RATAPORN.T</v>
      </c>
      <c r="E60" s="8" t="str">
        <f>IFERROR(VLOOKUP(B60,'Runner List'!$B$3:$O$505,7,FALSE),0)</f>
        <v>Female</v>
      </c>
      <c r="F60" s="8" t="str">
        <f>IFERROR(VLOOKUP(B60,'Runner List'!$B$3:$O$505,8,FALSE),0)</f>
        <v>20-39</v>
      </c>
      <c r="G60" s="8" t="str">
        <f>IFERROR(VLOOKUP(B60,'Runner List'!$B$3:$O$505,9,FALSE),0)</f>
        <v>Thai</v>
      </c>
      <c r="H60" s="8" t="str">
        <f>IFERROR(VLOOKUP(B60,'Runner List'!$B$3:$O$505,10,FALSE),0)</f>
        <v>MKT33</v>
      </c>
      <c r="I60" s="109">
        <f>IFERROR(VLOOKUP(B60,'Runner List'!$B$3:$O$505,12,FALSE),0)</f>
        <v>0.22916666666666666</v>
      </c>
    </row>
    <row r="61" spans="1:9" ht="36" customHeight="1">
      <c r="A61" s="8">
        <v>58</v>
      </c>
      <c r="B61" s="49">
        <v>3339</v>
      </c>
      <c r="C61" s="10" t="str">
        <f>IFERROR(VLOOKUP(B61,'Runner List'!$B$3:$O$505,5,FALSE),0)</f>
        <v>SIREETORN ARUNRUKTHAVON</v>
      </c>
      <c r="D61" s="8" t="str">
        <f>IFERROR(VLOOKUP(B61,'Runner List'!$B$3:$O$505,6,FALSE),0)</f>
        <v>SIREETORN.A</v>
      </c>
      <c r="E61" s="8" t="str">
        <f>IFERROR(VLOOKUP(B61,'Runner List'!$B$3:$O$505,7,FALSE),0)</f>
        <v>Female</v>
      </c>
      <c r="F61" s="8" t="str">
        <f>IFERROR(VLOOKUP(B61,'Runner List'!$B$3:$O$505,8,FALSE),0)</f>
        <v>20-39</v>
      </c>
      <c r="G61" s="8" t="str">
        <f>IFERROR(VLOOKUP(B61,'Runner List'!$B$3:$O$505,9,FALSE),0)</f>
        <v>Thai</v>
      </c>
      <c r="H61" s="8" t="str">
        <f>IFERROR(VLOOKUP(B61,'Runner List'!$B$3:$O$505,10,FALSE),0)</f>
        <v>MKT33</v>
      </c>
      <c r="I61" s="109">
        <f>IFERROR(VLOOKUP(B61,'Runner List'!$B$3:$O$505,12,FALSE),0)</f>
        <v>0.22916666666666666</v>
      </c>
    </row>
    <row r="62" spans="1:9" ht="36" customHeight="1">
      <c r="A62" s="8">
        <v>59</v>
      </c>
      <c r="B62" s="49">
        <v>3351</v>
      </c>
      <c r="C62" s="10" t="str">
        <f>IFERROR(VLOOKUP(B62,'Runner List'!$B$3:$O$505,5,FALSE),0)</f>
        <v>CHRISTIAN WENDELL</v>
      </c>
      <c r="D62" s="8" t="str">
        <f>IFERROR(VLOOKUP(B62,'Runner List'!$B$3:$O$505,6,FALSE),0)</f>
        <v>CHRISTIAN.W</v>
      </c>
      <c r="E62" s="8" t="str">
        <f>IFERROR(VLOOKUP(B62,'Runner List'!$B$3:$O$505,7,FALSE),0)</f>
        <v>Male</v>
      </c>
      <c r="F62" s="8" t="str">
        <f>IFERROR(VLOOKUP(B62,'Runner List'!$B$3:$O$505,8,FALSE),0)</f>
        <v>40-49</v>
      </c>
      <c r="G62" s="8" t="str">
        <f>IFERROR(VLOOKUP(B62,'Runner List'!$B$3:$O$505,9,FALSE),0)</f>
        <v>Philippines</v>
      </c>
      <c r="H62" s="8" t="str">
        <f>IFERROR(VLOOKUP(B62,'Runner List'!$B$3:$O$505,10,FALSE),0)</f>
        <v>MKT33</v>
      </c>
      <c r="I62" s="109">
        <f>IFERROR(VLOOKUP(B62,'Runner List'!$B$3:$O$505,12,FALSE),0)</f>
        <v>0.22916666666666666</v>
      </c>
    </row>
    <row r="63" spans="1:9" ht="36" customHeight="1">
      <c r="A63" s="8">
        <v>60</v>
      </c>
      <c r="B63" s="49">
        <v>5029</v>
      </c>
      <c r="C63" s="10" t="str">
        <f>IFERROR(VLOOKUP(B63,'Runner List'!$B$3:$O$505,5,FALSE),0)</f>
        <v>ALBRECHT DELFT PAGADUAN</v>
      </c>
      <c r="D63" s="8" t="str">
        <f>IFERROR(VLOOKUP(B63,'Runner List'!$B$3:$O$505,6,FALSE),0)</f>
        <v>ALBRECHT DELFT PAGADUAN</v>
      </c>
      <c r="E63" s="8" t="str">
        <f>IFERROR(VLOOKUP(B63,'Runner List'!$B$3:$O$505,7,FALSE),0)</f>
        <v>Male</v>
      </c>
      <c r="F63" s="8" t="str">
        <f>IFERROR(VLOOKUP(B63,'Runner List'!$B$3:$O$505,8,FALSE),0)</f>
        <v>40-49</v>
      </c>
      <c r="G63" s="8" t="str">
        <f>IFERROR(VLOOKUP(B63,'Runner List'!$B$3:$O$505,9,FALSE),0)</f>
        <v>Filipino</v>
      </c>
      <c r="H63" s="8" t="str">
        <f>IFERROR(VLOOKUP(B63,'Runner List'!$B$3:$O$505,10,FALSE),0)</f>
        <v>MKT50</v>
      </c>
      <c r="I63" s="109">
        <f>IFERROR(VLOOKUP(B63,'Runner List'!$B$3:$O$505,12,FALSE),0)</f>
        <v>0.20833333333333334</v>
      </c>
    </row>
    <row r="64" spans="1:9" ht="36" customHeight="1">
      <c r="A64" s="8">
        <v>61</v>
      </c>
      <c r="B64" s="49">
        <v>3367</v>
      </c>
      <c r="C64" s="10" t="str">
        <f>IFERROR(VLOOKUP(B64,'Runner List'!$B$3:$O$505,5,FALSE),0)</f>
        <v>TEERANNI JUNDEE</v>
      </c>
      <c r="D64" s="8" t="str">
        <f>IFERROR(VLOOKUP(B64,'Runner List'!$B$3:$O$505,6,FALSE),0)</f>
        <v>TEERANNI.J</v>
      </c>
      <c r="E64" s="8" t="str">
        <f>IFERROR(VLOOKUP(B64,'Runner List'!$B$3:$O$505,7,FALSE),0)</f>
        <v>Male</v>
      </c>
      <c r="F64" s="8" t="str">
        <f>IFERROR(VLOOKUP(B64,'Runner List'!$B$3:$O$505,8,FALSE),0)</f>
        <v>40-49</v>
      </c>
      <c r="G64" s="8" t="str">
        <f>IFERROR(VLOOKUP(B64,'Runner List'!$B$3:$O$505,9,FALSE),0)</f>
        <v>Thai</v>
      </c>
      <c r="H64" s="8" t="str">
        <f>IFERROR(VLOOKUP(B64,'Runner List'!$B$3:$O$505,10,FALSE),0)</f>
        <v>MKT33</v>
      </c>
      <c r="I64" s="109">
        <f>IFERROR(VLOOKUP(B64,'Runner List'!$B$3:$O$505,12,FALSE),0)</f>
        <v>0.22916666666666666</v>
      </c>
    </row>
    <row r="65" spans="1:9" ht="36" customHeight="1">
      <c r="A65" s="8">
        <v>62</v>
      </c>
      <c r="B65" s="49">
        <v>3369</v>
      </c>
      <c r="C65" s="10" t="str">
        <f>IFERROR(VLOOKUP(B65,'Runner List'!$B$3:$O$505,5,FALSE),0)</f>
        <v>SURASAK CHUNTAPA</v>
      </c>
      <c r="D65" s="8" t="str">
        <f>IFERROR(VLOOKUP(B65,'Runner List'!$B$3:$O$505,6,FALSE),0)</f>
        <v>SURASAK.C</v>
      </c>
      <c r="E65" s="8" t="str">
        <f>IFERROR(VLOOKUP(B65,'Runner List'!$B$3:$O$505,7,FALSE),0)</f>
        <v>Male</v>
      </c>
      <c r="F65" s="8" t="str">
        <f>IFERROR(VLOOKUP(B65,'Runner List'!$B$3:$O$505,8,FALSE),0)</f>
        <v>20-39</v>
      </c>
      <c r="G65" s="8" t="str">
        <f>IFERROR(VLOOKUP(B65,'Runner List'!$B$3:$O$505,9,FALSE),0)</f>
        <v>Thai</v>
      </c>
      <c r="H65" s="8" t="str">
        <f>IFERROR(VLOOKUP(B65,'Runner List'!$B$3:$O$505,10,FALSE),0)</f>
        <v>MKT33</v>
      </c>
      <c r="I65" s="109">
        <f>IFERROR(VLOOKUP(B65,'Runner List'!$B$3:$O$505,12,FALSE),0)</f>
        <v>0.22916666666666666</v>
      </c>
    </row>
    <row r="66" spans="1:9" ht="36" customHeight="1">
      <c r="A66" s="8">
        <v>63</v>
      </c>
      <c r="B66" s="49">
        <v>3370</v>
      </c>
      <c r="C66" s="10" t="str">
        <f>IFERROR(VLOOKUP(B66,'Runner List'!$B$3:$O$505,5,FALSE),0)</f>
        <v>WECHSON KHAMPINIT</v>
      </c>
      <c r="D66" s="8" t="str">
        <f>IFERROR(VLOOKUP(B66,'Runner List'!$B$3:$O$505,6,FALSE),0)</f>
        <v>WECHSON.K</v>
      </c>
      <c r="E66" s="8" t="str">
        <f>IFERROR(VLOOKUP(B66,'Runner List'!$B$3:$O$505,7,FALSE),0)</f>
        <v>Male</v>
      </c>
      <c r="F66" s="8" t="str">
        <f>IFERROR(VLOOKUP(B66,'Runner List'!$B$3:$O$505,8,FALSE),0)</f>
        <v>60 Plus</v>
      </c>
      <c r="G66" s="8" t="str">
        <f>IFERROR(VLOOKUP(B66,'Runner List'!$B$3:$O$505,9,FALSE),0)</f>
        <v>Thai</v>
      </c>
      <c r="H66" s="8" t="str">
        <f>IFERROR(VLOOKUP(B66,'Runner List'!$B$3:$O$505,10,FALSE),0)</f>
        <v>MKT33</v>
      </c>
      <c r="I66" s="109">
        <f>IFERROR(VLOOKUP(B66,'Runner List'!$B$3:$O$505,12,FALSE),0)</f>
        <v>0.22916666666666666</v>
      </c>
    </row>
    <row r="67" spans="1:9" ht="36" customHeight="1">
      <c r="A67" s="8">
        <v>64</v>
      </c>
      <c r="B67" s="49">
        <v>3371</v>
      </c>
      <c r="C67" s="10" t="str">
        <f>IFERROR(VLOOKUP(B67,'Runner List'!$B$3:$O$505,5,FALSE),0)</f>
        <v>CHARUWAT KETSORN</v>
      </c>
      <c r="D67" s="8" t="str">
        <f>IFERROR(VLOOKUP(B67,'Runner List'!$B$3:$O$505,6,FALSE),0)</f>
        <v>CHARUWAT.K</v>
      </c>
      <c r="E67" s="8" t="str">
        <f>IFERROR(VLOOKUP(B67,'Runner List'!$B$3:$O$505,7,FALSE),0)</f>
        <v>Male</v>
      </c>
      <c r="F67" s="8" t="str">
        <f>IFERROR(VLOOKUP(B67,'Runner List'!$B$3:$O$505,8,FALSE),0)</f>
        <v>50-59</v>
      </c>
      <c r="G67" s="8" t="str">
        <f>IFERROR(VLOOKUP(B67,'Runner List'!$B$3:$O$505,9,FALSE),0)</f>
        <v>Thai</v>
      </c>
      <c r="H67" s="8" t="str">
        <f>IFERROR(VLOOKUP(B67,'Runner List'!$B$3:$O$505,10,FALSE),0)</f>
        <v>MKT33</v>
      </c>
      <c r="I67" s="109">
        <f>IFERROR(VLOOKUP(B67,'Runner List'!$B$3:$O$505,12,FALSE),0)</f>
        <v>0.22916666666666666</v>
      </c>
    </row>
    <row r="68" spans="1:9" ht="36" customHeight="1">
      <c r="A68" s="8">
        <v>65</v>
      </c>
      <c r="B68" s="49">
        <v>3373</v>
      </c>
      <c r="C68" s="10" t="str">
        <f>IFERROR(VLOOKUP(B68,'Runner List'!$B$3:$O$505,5,FALSE),0)</f>
        <v>ANTHONG ARAUJO</v>
      </c>
      <c r="D68" s="8" t="str">
        <f>IFERROR(VLOOKUP(B68,'Runner List'!$B$3:$O$505,6,FALSE),0)</f>
        <v>ANTHONG.A</v>
      </c>
      <c r="E68" s="8" t="str">
        <f>IFERROR(VLOOKUP(B68,'Runner List'!$B$3:$O$505,7,FALSE),0)</f>
        <v>Male</v>
      </c>
      <c r="F68" s="8" t="str">
        <f>IFERROR(VLOOKUP(B68,'Runner List'!$B$3:$O$505,8,FALSE),0)</f>
        <v>20-39</v>
      </c>
      <c r="G68" s="8" t="str">
        <f>IFERROR(VLOOKUP(B68,'Runner List'!$B$3:$O$505,9,FALSE),0)</f>
        <v>USA</v>
      </c>
      <c r="H68" s="8" t="str">
        <f>IFERROR(VLOOKUP(B68,'Runner List'!$B$3:$O$505,10,FALSE),0)</f>
        <v>MKT33</v>
      </c>
      <c r="I68" s="109">
        <f>IFERROR(VLOOKUP(B68,'Runner List'!$B$3:$O$505,12,FALSE),0)</f>
        <v>0.22916666666666666</v>
      </c>
    </row>
    <row r="69" spans="1:9" ht="36" customHeight="1">
      <c r="A69" s="8">
        <v>66</v>
      </c>
      <c r="B69" s="49">
        <v>3385</v>
      </c>
      <c r="C69" s="10" t="str">
        <f>IFERROR(VLOOKUP(B69,'Runner List'!$B$3:$O$505,5,FALSE),0)</f>
        <v>UDOM YAVILAS</v>
      </c>
      <c r="D69" s="8" t="str">
        <f>IFERROR(VLOOKUP(B69,'Runner List'!$B$3:$O$505,6,FALSE),0)</f>
        <v>UDOM.Y</v>
      </c>
      <c r="E69" s="8" t="str">
        <f>IFERROR(VLOOKUP(B69,'Runner List'!$B$3:$O$505,7,FALSE),0)</f>
        <v>Male</v>
      </c>
      <c r="F69" s="8" t="str">
        <f>IFERROR(VLOOKUP(B69,'Runner List'!$B$3:$O$505,8,FALSE),0)</f>
        <v>50-59</v>
      </c>
      <c r="G69" s="8" t="str">
        <f>IFERROR(VLOOKUP(B69,'Runner List'!$B$3:$O$505,9,FALSE),0)</f>
        <v>Thai</v>
      </c>
      <c r="H69" s="8" t="str">
        <f>IFERROR(VLOOKUP(B69,'Runner List'!$B$3:$O$505,10,FALSE),0)</f>
        <v>MKT33</v>
      </c>
      <c r="I69" s="109">
        <f>IFERROR(VLOOKUP(B69,'Runner List'!$B$3:$O$505,12,FALSE),0)</f>
        <v>0.22916666666666666</v>
      </c>
    </row>
    <row r="70" spans="1:9" ht="36" customHeight="1">
      <c r="A70" s="8">
        <v>67</v>
      </c>
      <c r="B70" s="49">
        <v>5041</v>
      </c>
      <c r="C70" s="10" t="str">
        <f>IFERROR(VLOOKUP(B70,'Runner List'!$B$3:$O$505,5,FALSE),0)</f>
        <v>ALAN  FLENING</v>
      </c>
      <c r="D70" s="8" t="str">
        <f>IFERROR(VLOOKUP(B70,'Runner List'!$B$3:$O$505,6,FALSE),0)</f>
        <v>ALAN .F</v>
      </c>
      <c r="E70" s="8" t="str">
        <f>IFERROR(VLOOKUP(B70,'Runner List'!$B$3:$O$505,7,FALSE),0)</f>
        <v>Male</v>
      </c>
      <c r="F70" s="8" t="str">
        <f>IFERROR(VLOOKUP(B70,'Runner List'!$B$3:$O$505,8,FALSE),0)</f>
        <v>40-49</v>
      </c>
      <c r="G70" s="8" t="str">
        <f>IFERROR(VLOOKUP(B70,'Runner List'!$B$3:$O$505,9,FALSE),0)</f>
        <v>Australia</v>
      </c>
      <c r="H70" s="8" t="str">
        <f>IFERROR(VLOOKUP(B70,'Runner List'!$B$3:$O$505,10,FALSE),0)</f>
        <v>MKT50</v>
      </c>
      <c r="I70" s="109">
        <f>IFERROR(VLOOKUP(B70,'Runner List'!$B$3:$O$505,12,FALSE),0)</f>
        <v>0.20833333333333334</v>
      </c>
    </row>
    <row r="71" spans="1:9" ht="36" customHeight="1">
      <c r="A71" s="8">
        <v>68</v>
      </c>
      <c r="B71" s="49">
        <v>5037</v>
      </c>
      <c r="C71" s="10" t="str">
        <f>IFERROR(VLOOKUP(B71,'Runner List'!$B$3:$O$505,5,FALSE),0)</f>
        <v>JITRA TOIM</v>
      </c>
      <c r="D71" s="8" t="str">
        <f>IFERROR(VLOOKUP(B71,'Runner List'!$B$3:$O$505,6,FALSE),0)</f>
        <v>JITRA.T</v>
      </c>
      <c r="E71" s="8" t="str">
        <f>IFERROR(VLOOKUP(B71,'Runner List'!$B$3:$O$505,7,FALSE),0)</f>
        <v>Female</v>
      </c>
      <c r="F71" s="8" t="str">
        <f>IFERROR(VLOOKUP(B71,'Runner List'!$B$3:$O$505,8,FALSE),0)</f>
        <v>40-49</v>
      </c>
      <c r="G71" s="8" t="str">
        <f>IFERROR(VLOOKUP(B71,'Runner List'!$B$3:$O$505,9,FALSE),0)</f>
        <v>Thai</v>
      </c>
      <c r="H71" s="8" t="str">
        <f>IFERROR(VLOOKUP(B71,'Runner List'!$B$3:$O$505,10,FALSE),0)</f>
        <v>MKT50</v>
      </c>
      <c r="I71" s="109">
        <f>IFERROR(VLOOKUP(B71,'Runner List'!$B$3:$O$505,12,FALSE),0)</f>
        <v>0.20833333333333334</v>
      </c>
    </row>
    <row r="72" spans="1:9" ht="36" customHeight="1">
      <c r="A72" s="8">
        <v>69</v>
      </c>
      <c r="B72" s="49">
        <v>5017</v>
      </c>
      <c r="C72" s="10" t="str">
        <f>IFERROR(VLOOKUP(B72,'Runner List'!$B$3:$O$505,5,FALSE),0)</f>
        <v>SIRILAX ROMPHONGERN</v>
      </c>
      <c r="D72" s="8" t="str">
        <f>IFERROR(VLOOKUP(B72,'Runner List'!$B$3:$O$505,6,FALSE),0)</f>
        <v>SIRILAX.R</v>
      </c>
      <c r="E72" s="8" t="str">
        <f>IFERROR(VLOOKUP(B72,'Runner List'!$B$3:$O$505,7,FALSE),0)</f>
        <v>Female</v>
      </c>
      <c r="F72" s="8" t="str">
        <f>IFERROR(VLOOKUP(B72,'Runner List'!$B$3:$O$505,8,FALSE),0)</f>
        <v>50-59</v>
      </c>
      <c r="G72" s="8" t="str">
        <f>IFERROR(VLOOKUP(B72,'Runner List'!$B$3:$O$505,9,FALSE),0)</f>
        <v>Thai</v>
      </c>
      <c r="H72" s="8" t="str">
        <f>IFERROR(VLOOKUP(B72,'Runner List'!$B$3:$O$505,10,FALSE),0)</f>
        <v>MKT50</v>
      </c>
      <c r="I72" s="109">
        <f>IFERROR(VLOOKUP(B72,'Runner List'!$B$3:$O$505,12,FALSE),0)</f>
        <v>0.20833333333333334</v>
      </c>
    </row>
    <row r="73" spans="1:9" ht="36" customHeight="1">
      <c r="A73" s="8">
        <v>70</v>
      </c>
      <c r="B73" s="49">
        <v>3324</v>
      </c>
      <c r="C73" s="10" t="str">
        <f>IFERROR(VLOOKUP(B73,'Runner List'!$B$3:$O$505,5,FALSE),0)</f>
        <v>NADHAKAN SHINNARANANTANA</v>
      </c>
      <c r="D73" s="8" t="str">
        <f>IFERROR(VLOOKUP(B73,'Runner List'!$B$3:$O$505,6,FALSE),0)</f>
        <v>NADHAKAN.S</v>
      </c>
      <c r="E73" s="8" t="str">
        <f>IFERROR(VLOOKUP(B73,'Runner List'!$B$3:$O$505,7,FALSE),0)</f>
        <v>Female</v>
      </c>
      <c r="F73" s="8" t="str">
        <f>IFERROR(VLOOKUP(B73,'Runner List'!$B$3:$O$505,8,FALSE),0)</f>
        <v>40-49</v>
      </c>
      <c r="G73" s="8" t="str">
        <f>IFERROR(VLOOKUP(B73,'Runner List'!$B$3:$O$505,9,FALSE),0)</f>
        <v>Thai</v>
      </c>
      <c r="H73" s="8" t="str">
        <f>IFERROR(VLOOKUP(B73,'Runner List'!$B$3:$O$505,10,FALSE),0)</f>
        <v>MKT33</v>
      </c>
      <c r="I73" s="109">
        <f>IFERROR(VLOOKUP(B73,'Runner List'!$B$3:$O$505,12,FALSE),0)</f>
        <v>0.22916666666666666</v>
      </c>
    </row>
    <row r="74" spans="1:9" ht="36" customHeight="1">
      <c r="A74" s="8">
        <v>71</v>
      </c>
      <c r="B74" s="49">
        <v>3325</v>
      </c>
      <c r="C74" s="10" t="str">
        <f>IFERROR(VLOOKUP(B74,'Runner List'!$B$3:$O$505,5,FALSE),0)</f>
        <v>DARANEE CHOTISTHAYANGURA</v>
      </c>
      <c r="D74" s="8" t="str">
        <f>IFERROR(VLOOKUP(B74,'Runner List'!$B$3:$O$505,6,FALSE),0)</f>
        <v>DARANEE.C</v>
      </c>
      <c r="E74" s="8" t="str">
        <f>IFERROR(VLOOKUP(B74,'Runner List'!$B$3:$O$505,7,FALSE),0)</f>
        <v>Female</v>
      </c>
      <c r="F74" s="8" t="str">
        <f>IFERROR(VLOOKUP(B74,'Runner List'!$B$3:$O$505,8,FALSE),0)</f>
        <v>50-59</v>
      </c>
      <c r="G74" s="8" t="str">
        <f>IFERROR(VLOOKUP(B74,'Runner List'!$B$3:$O$505,9,FALSE),0)</f>
        <v>Thai</v>
      </c>
      <c r="H74" s="8" t="str">
        <f>IFERROR(VLOOKUP(B74,'Runner List'!$B$3:$O$505,10,FALSE),0)</f>
        <v>MKT33</v>
      </c>
      <c r="I74" s="109">
        <f>IFERROR(VLOOKUP(B74,'Runner List'!$B$3:$O$505,12,FALSE),0)</f>
        <v>0.22916666666666666</v>
      </c>
    </row>
    <row r="75" spans="1:9" ht="36" customHeight="1">
      <c r="A75" s="8">
        <v>72</v>
      </c>
      <c r="B75" s="49">
        <v>3326</v>
      </c>
      <c r="C75" s="10" t="str">
        <f>IFERROR(VLOOKUP(B75,'Runner List'!$B$3:$O$505,5,FALSE),0)</f>
        <v>JANTHIMA CHOTISTHAYANGURA</v>
      </c>
      <c r="D75" s="8" t="str">
        <f>IFERROR(VLOOKUP(B75,'Runner List'!$B$3:$O$505,6,FALSE),0)</f>
        <v>JANTHIMA.C</v>
      </c>
      <c r="E75" s="8" t="str">
        <f>IFERROR(VLOOKUP(B75,'Runner List'!$B$3:$O$505,7,FALSE),0)</f>
        <v>Female</v>
      </c>
      <c r="F75" s="8" t="str">
        <f>IFERROR(VLOOKUP(B75,'Runner List'!$B$3:$O$505,8,FALSE),0)</f>
        <v>50-59</v>
      </c>
      <c r="G75" s="8" t="str">
        <f>IFERROR(VLOOKUP(B75,'Runner List'!$B$3:$O$505,9,FALSE),0)</f>
        <v>Thai</v>
      </c>
      <c r="H75" s="8" t="str">
        <f>IFERROR(VLOOKUP(B75,'Runner List'!$B$3:$O$505,10,FALSE),0)</f>
        <v>MKT33</v>
      </c>
      <c r="I75" s="109">
        <f>IFERROR(VLOOKUP(B75,'Runner List'!$B$3:$O$505,12,FALSE),0)</f>
        <v>0.22916666666666666</v>
      </c>
    </row>
    <row r="76" spans="1:9" ht="36" customHeight="1">
      <c r="A76" s="8">
        <v>73</v>
      </c>
      <c r="B76" s="49">
        <v>3327</v>
      </c>
      <c r="C76" s="10" t="str">
        <f>IFERROR(VLOOKUP(B76,'Runner List'!$B$3:$O$505,5,FALSE),0)</f>
        <v>NONGLUCK SERMSUPT</v>
      </c>
      <c r="D76" s="8" t="str">
        <f>IFERROR(VLOOKUP(B76,'Runner List'!$B$3:$O$505,6,FALSE),0)</f>
        <v>NONGLUCK.S</v>
      </c>
      <c r="E76" s="8" t="str">
        <f>IFERROR(VLOOKUP(B76,'Runner List'!$B$3:$O$505,7,FALSE),0)</f>
        <v>Female</v>
      </c>
      <c r="F76" s="8" t="str">
        <f>IFERROR(VLOOKUP(B76,'Runner List'!$B$3:$O$505,8,FALSE),0)</f>
        <v>50-59</v>
      </c>
      <c r="G76" s="8" t="str">
        <f>IFERROR(VLOOKUP(B76,'Runner List'!$B$3:$O$505,9,FALSE),0)</f>
        <v>Thai</v>
      </c>
      <c r="H76" s="8" t="str">
        <f>IFERROR(VLOOKUP(B76,'Runner List'!$B$3:$O$505,10,FALSE),0)</f>
        <v>MKT33</v>
      </c>
      <c r="I76" s="109">
        <f>IFERROR(VLOOKUP(B76,'Runner List'!$B$3:$O$505,12,FALSE),0)</f>
        <v>0.22916666666666666</v>
      </c>
    </row>
    <row r="77" spans="1:9" ht="36" customHeight="1">
      <c r="A77" s="8">
        <v>74</v>
      </c>
      <c r="B77" s="49">
        <v>3394</v>
      </c>
      <c r="C77" s="10" t="str">
        <f>IFERROR(VLOOKUP(B77,'Runner List'!$B$3:$O$505,5,FALSE),0)</f>
        <v>CHOTIPHAT SRITANAWARAKIT</v>
      </c>
      <c r="D77" s="8" t="str">
        <f>IFERROR(VLOOKUP(B77,'Runner List'!$B$3:$O$505,6,FALSE),0)</f>
        <v>CHOTIPHAT.S</v>
      </c>
      <c r="E77" s="8" t="str">
        <f>IFERROR(VLOOKUP(B77,'Runner List'!$B$3:$O$505,7,FALSE),0)</f>
        <v>Male</v>
      </c>
      <c r="F77" s="8" t="str">
        <f>IFERROR(VLOOKUP(B77,'Runner List'!$B$3:$O$505,8,FALSE),0)</f>
        <v>20-39</v>
      </c>
      <c r="G77" s="8" t="str">
        <f>IFERROR(VLOOKUP(B77,'Runner List'!$B$3:$O$505,9,FALSE),0)</f>
        <v>Thai</v>
      </c>
      <c r="H77" s="8" t="str">
        <f>IFERROR(VLOOKUP(B77,'Runner List'!$B$3:$O$505,10,FALSE),0)</f>
        <v>MKT33</v>
      </c>
      <c r="I77" s="109">
        <f>IFERROR(VLOOKUP(B77,'Runner List'!$B$3:$O$505,12,FALSE),0)</f>
        <v>0.22916666666666666</v>
      </c>
    </row>
    <row r="78" spans="1:9" ht="36" customHeight="1">
      <c r="A78" s="8">
        <v>75</v>
      </c>
      <c r="B78" s="49">
        <v>3395</v>
      </c>
      <c r="C78" s="10" t="str">
        <f>IFERROR(VLOOKUP(B78,'Runner List'!$B$3:$O$505,5,FALSE),0)</f>
        <v>BANCHAPOL DHIRANETRA</v>
      </c>
      <c r="D78" s="8" t="str">
        <f>IFERROR(VLOOKUP(B78,'Runner List'!$B$3:$O$505,6,FALSE),0)</f>
        <v>BANCHAPOL.D</v>
      </c>
      <c r="E78" s="8" t="str">
        <f>IFERROR(VLOOKUP(B78,'Runner List'!$B$3:$O$505,7,FALSE),0)</f>
        <v>Male</v>
      </c>
      <c r="F78" s="8" t="str">
        <f>IFERROR(VLOOKUP(B78,'Runner List'!$B$3:$O$505,8,FALSE),0)</f>
        <v>50-59</v>
      </c>
      <c r="G78" s="8" t="str">
        <f>IFERROR(VLOOKUP(B78,'Runner List'!$B$3:$O$505,9,FALSE),0)</f>
        <v>Thai</v>
      </c>
      <c r="H78" s="8" t="str">
        <f>IFERROR(VLOOKUP(B78,'Runner List'!$B$3:$O$505,10,FALSE),0)</f>
        <v>MKT33</v>
      </c>
      <c r="I78" s="109">
        <f>IFERROR(VLOOKUP(B78,'Runner List'!$B$3:$O$505,12,FALSE),0)</f>
        <v>0.22916666666666666</v>
      </c>
    </row>
    <row r="79" spans="1:9" ht="36" customHeight="1">
      <c r="A79" s="8">
        <v>76</v>
      </c>
      <c r="B79" s="49">
        <v>3396</v>
      </c>
      <c r="C79" s="10" t="str">
        <f>IFERROR(VLOOKUP(B79,'Runner List'!$B$3:$O$505,5,FALSE),0)</f>
        <v>PHATCHARIDA THAEPTHONG</v>
      </c>
      <c r="D79" s="8" t="str">
        <f>IFERROR(VLOOKUP(B79,'Runner List'!$B$3:$O$505,6,FALSE),0)</f>
        <v>PHATCHARIDA.T</v>
      </c>
      <c r="E79" s="8" t="str">
        <f>IFERROR(VLOOKUP(B79,'Runner List'!$B$3:$O$505,7,FALSE),0)</f>
        <v>Female</v>
      </c>
      <c r="F79" s="8" t="str">
        <f>IFERROR(VLOOKUP(B79,'Runner List'!$B$3:$O$505,8,FALSE),0)</f>
        <v>20-39</v>
      </c>
      <c r="G79" s="8" t="str">
        <f>IFERROR(VLOOKUP(B79,'Runner List'!$B$3:$O$505,9,FALSE),0)</f>
        <v>Thai</v>
      </c>
      <c r="H79" s="8" t="str">
        <f>IFERROR(VLOOKUP(B79,'Runner List'!$B$3:$O$505,10,FALSE),0)</f>
        <v>MKT33</v>
      </c>
      <c r="I79" s="109">
        <f>IFERROR(VLOOKUP(B79,'Runner List'!$B$3:$O$505,12,FALSE),0)</f>
        <v>0.22916666666666666</v>
      </c>
    </row>
    <row r="80" spans="1:9" ht="36" customHeight="1">
      <c r="A80" s="8">
        <v>77</v>
      </c>
      <c r="B80" s="49">
        <v>3368</v>
      </c>
      <c r="C80" s="10" t="str">
        <f>IFERROR(VLOOKUP(B80,'Runner List'!$B$3:$O$505,5,FALSE),0)</f>
        <v>TOTSAPORN MUAMGNGAM</v>
      </c>
      <c r="D80" s="8" t="str">
        <f>IFERROR(VLOOKUP(B80,'Runner List'!$B$3:$O$505,6,FALSE),0)</f>
        <v>TOTSAPORN.M</v>
      </c>
      <c r="E80" s="8" t="str">
        <f>IFERROR(VLOOKUP(B80,'Runner List'!$B$3:$O$505,7,FALSE),0)</f>
        <v>Female</v>
      </c>
      <c r="F80" s="8" t="str">
        <f>IFERROR(VLOOKUP(B80,'Runner List'!$B$3:$O$505,8,FALSE),0)</f>
        <v>20-39</v>
      </c>
      <c r="G80" s="8" t="str">
        <f>IFERROR(VLOOKUP(B80,'Runner List'!$B$3:$O$505,9,FALSE),0)</f>
        <v>Thai</v>
      </c>
      <c r="H80" s="8" t="str">
        <f>IFERROR(VLOOKUP(B80,'Runner List'!$B$3:$O$505,10,FALSE),0)</f>
        <v>MKT33</v>
      </c>
      <c r="I80" s="109">
        <f>IFERROR(VLOOKUP(B80,'Runner List'!$B$3:$O$505,12,FALSE),0)</f>
        <v>0.22916666666666666</v>
      </c>
    </row>
    <row r="81" spans="1:9" ht="36" customHeight="1">
      <c r="A81" s="8">
        <v>78</v>
      </c>
      <c r="B81" s="49">
        <v>3372</v>
      </c>
      <c r="C81" s="10" t="str">
        <f>IFERROR(VLOOKUP(B81,'Runner List'!$B$3:$O$505,5,FALSE),0)</f>
        <v>RATSAMEE DAWJBON</v>
      </c>
      <c r="D81" s="8" t="str">
        <f>IFERROR(VLOOKUP(B81,'Runner List'!$B$3:$O$505,6,FALSE),0)</f>
        <v>RATSAMEE.D</v>
      </c>
      <c r="E81" s="8" t="str">
        <f>IFERROR(VLOOKUP(B81,'Runner List'!$B$3:$O$505,7,FALSE),0)</f>
        <v>Female</v>
      </c>
      <c r="F81" s="8" t="str">
        <f>IFERROR(VLOOKUP(B81,'Runner List'!$B$3:$O$505,8,FALSE),0)</f>
        <v>40-49</v>
      </c>
      <c r="G81" s="8" t="str">
        <f>IFERROR(VLOOKUP(B81,'Runner List'!$B$3:$O$505,9,FALSE),0)</f>
        <v>Thai</v>
      </c>
      <c r="H81" s="8" t="str">
        <f>IFERROR(VLOOKUP(B81,'Runner List'!$B$3:$O$505,10,FALSE),0)</f>
        <v>MKT33</v>
      </c>
      <c r="I81" s="109">
        <f>IFERROR(VLOOKUP(B81,'Runner List'!$B$3:$O$505,12,FALSE),0)</f>
        <v>0.22916666666666666</v>
      </c>
    </row>
    <row r="82" spans="1:9" ht="36" customHeight="1">
      <c r="A82" s="8">
        <v>79</v>
      </c>
      <c r="B82" s="49">
        <v>3374</v>
      </c>
      <c r="C82" s="10" t="str">
        <f>IFERROR(VLOOKUP(B82,'Runner List'!$B$3:$O$505,5,FALSE),0)</f>
        <v>JULARRUCK LOMPAIBOON</v>
      </c>
      <c r="D82" s="8" t="str">
        <f>IFERROR(VLOOKUP(B82,'Runner List'!$B$3:$O$505,6,FALSE),0)</f>
        <v>JULARRUCK.L</v>
      </c>
      <c r="E82" s="8" t="str">
        <f>IFERROR(VLOOKUP(B82,'Runner List'!$B$3:$O$505,7,FALSE),0)</f>
        <v>Female</v>
      </c>
      <c r="F82" s="8" t="str">
        <f>IFERROR(VLOOKUP(B82,'Runner List'!$B$3:$O$505,8,FALSE),0)</f>
        <v>60 Plus</v>
      </c>
      <c r="G82" s="8" t="str">
        <f>IFERROR(VLOOKUP(B82,'Runner List'!$B$3:$O$505,9,FALSE),0)</f>
        <v>Thai</v>
      </c>
      <c r="H82" s="8" t="str">
        <f>IFERROR(VLOOKUP(B82,'Runner List'!$B$3:$O$505,10,FALSE),0)</f>
        <v>MKT33</v>
      </c>
      <c r="I82" s="109">
        <f>IFERROR(VLOOKUP(B82,'Runner List'!$B$3:$O$505,12,FALSE),0)</f>
        <v>0.22916666666666666</v>
      </c>
    </row>
    <row r="83" spans="1:9" ht="36" customHeight="1">
      <c r="A83" s="8">
        <v>80</v>
      </c>
      <c r="B83" s="49">
        <v>3375</v>
      </c>
      <c r="C83" s="10" t="str">
        <f>IFERROR(VLOOKUP(B83,'Runner List'!$B$3:$O$505,5,FALSE),0)</f>
        <v>BENYADA YOSHSINGCOME</v>
      </c>
      <c r="D83" s="8" t="str">
        <f>IFERROR(VLOOKUP(B83,'Runner List'!$B$3:$O$505,6,FALSE),0)</f>
        <v>BENYADA.Y</v>
      </c>
      <c r="E83" s="8" t="str">
        <f>IFERROR(VLOOKUP(B83,'Runner List'!$B$3:$O$505,7,FALSE),0)</f>
        <v>Female</v>
      </c>
      <c r="F83" s="8" t="str">
        <f>IFERROR(VLOOKUP(B83,'Runner List'!$B$3:$O$505,8,FALSE),0)</f>
        <v>40-49</v>
      </c>
      <c r="G83" s="8" t="str">
        <f>IFERROR(VLOOKUP(B83,'Runner List'!$B$3:$O$505,9,FALSE),0)</f>
        <v>Thai</v>
      </c>
      <c r="H83" s="8" t="str">
        <f>IFERROR(VLOOKUP(B83,'Runner List'!$B$3:$O$505,10,FALSE),0)</f>
        <v>MKT33</v>
      </c>
      <c r="I83" s="109">
        <f>IFERROR(VLOOKUP(B83,'Runner List'!$B$3:$O$505,12,FALSE),0)</f>
        <v>0.22916666666666666</v>
      </c>
    </row>
    <row r="84" spans="1:9" ht="36" customHeight="1">
      <c r="A84" s="8">
        <v>81</v>
      </c>
      <c r="B84" s="49">
        <v>5045</v>
      </c>
      <c r="C84" s="10" t="str">
        <f>IFERROR(VLOOKUP(B84,'Runner List'!$B$3:$O$505,5,FALSE),0)</f>
        <v>VEERAPONG PAKDEEPRASERT</v>
      </c>
      <c r="D84" s="8" t="str">
        <f>IFERROR(VLOOKUP(B84,'Runner List'!$B$3:$O$505,6,FALSE),0)</f>
        <v>VEERAPONG.P</v>
      </c>
      <c r="E84" s="8" t="str">
        <f>IFERROR(VLOOKUP(B84,'Runner List'!$B$3:$O$505,7,FALSE),0)</f>
        <v>Male</v>
      </c>
      <c r="F84" s="8" t="str">
        <f>IFERROR(VLOOKUP(B84,'Runner List'!$B$3:$O$505,8,FALSE),0)</f>
        <v>40-49</v>
      </c>
      <c r="G84" s="8" t="str">
        <f>IFERROR(VLOOKUP(B84,'Runner List'!$B$3:$O$505,9,FALSE),0)</f>
        <v>Thai</v>
      </c>
      <c r="H84" s="8" t="str">
        <f>IFERROR(VLOOKUP(B84,'Runner List'!$B$3:$O$505,10,FALSE),0)</f>
        <v>MKT50</v>
      </c>
      <c r="I84" s="109">
        <f>IFERROR(VLOOKUP(B84,'Runner List'!$B$3:$O$505,12,FALSE),0)</f>
        <v>0.20833333333333334</v>
      </c>
    </row>
    <row r="85" spans="1:9" ht="36" customHeight="1">
      <c r="A85" s="8">
        <v>82</v>
      </c>
      <c r="B85" s="49">
        <v>5027</v>
      </c>
      <c r="C85" s="10" t="str">
        <f>IFERROR(VLOOKUP(B85,'Runner List'!$B$3:$O$505,5,FALSE),0)</f>
        <v>UMAPORN TIRAWAT</v>
      </c>
      <c r="D85" s="8" t="str">
        <f>IFERROR(VLOOKUP(B85,'Runner List'!$B$3:$O$505,6,FALSE),0)</f>
        <v>UMAPORN.T</v>
      </c>
      <c r="E85" s="8" t="str">
        <f>IFERROR(VLOOKUP(B85,'Runner List'!$B$3:$O$505,7,FALSE),0)</f>
        <v>Female</v>
      </c>
      <c r="F85" s="8" t="str">
        <f>IFERROR(VLOOKUP(B85,'Runner List'!$B$3:$O$505,8,FALSE),0)</f>
        <v>50-59</v>
      </c>
      <c r="G85" s="8" t="str">
        <f>IFERROR(VLOOKUP(B85,'Runner List'!$B$3:$O$505,9,FALSE),0)</f>
        <v>Thai</v>
      </c>
      <c r="H85" s="8" t="str">
        <f>IFERROR(VLOOKUP(B85,'Runner List'!$B$3:$O$505,10,FALSE),0)</f>
        <v>MKT50</v>
      </c>
      <c r="I85" s="109">
        <f>IFERROR(VLOOKUP(B85,'Runner List'!$B$3:$O$505,12,FALSE),0)</f>
        <v>0.20833333333333334</v>
      </c>
    </row>
    <row r="86" spans="1:9" ht="36" customHeight="1">
      <c r="A86" s="8">
        <v>83</v>
      </c>
      <c r="B86" s="49">
        <v>3362</v>
      </c>
      <c r="C86" s="10" t="str">
        <f>IFERROR(VLOOKUP(B86,'Runner List'!$B$3:$O$505,5,FALSE),0)</f>
        <v>ATHIPPAKORN LNJINDA</v>
      </c>
      <c r="D86" s="8" t="str">
        <f>IFERROR(VLOOKUP(B86,'Runner List'!$B$3:$O$505,6,FALSE),0)</f>
        <v>ATHIPPAKORN.L</v>
      </c>
      <c r="E86" s="8" t="str">
        <f>IFERROR(VLOOKUP(B86,'Runner List'!$B$3:$O$505,7,FALSE),0)</f>
        <v>Male</v>
      </c>
      <c r="F86" s="8" t="str">
        <f>IFERROR(VLOOKUP(B86,'Runner List'!$B$3:$O$505,8,FALSE),0)</f>
        <v>20-39</v>
      </c>
      <c r="G86" s="8" t="str">
        <f>IFERROR(VLOOKUP(B86,'Runner List'!$B$3:$O$505,9,FALSE),0)</f>
        <v>Thai</v>
      </c>
      <c r="H86" s="8" t="str">
        <f>IFERROR(VLOOKUP(B86,'Runner List'!$B$3:$O$505,10,FALSE),0)</f>
        <v>MKT33</v>
      </c>
      <c r="I86" s="109">
        <f>IFERROR(VLOOKUP(B86,'Runner List'!$B$3:$O$505,12,FALSE),0)</f>
        <v>0.22916666666666666</v>
      </c>
    </row>
    <row r="87" spans="1:9" ht="36" customHeight="1">
      <c r="A87" s="8">
        <v>84</v>
      </c>
      <c r="B87" s="49">
        <v>3397</v>
      </c>
      <c r="C87" s="10" t="str">
        <f>IFERROR(VLOOKUP(B87,'Runner List'!$B$3:$O$505,5,FALSE),0)</f>
        <v>VINCENT ARQUE</v>
      </c>
      <c r="D87" s="8" t="str">
        <f>IFERROR(VLOOKUP(B87,'Runner List'!$B$3:$O$505,6,FALSE),0)</f>
        <v>VINCENT.A</v>
      </c>
      <c r="E87" s="8" t="str">
        <f>IFERROR(VLOOKUP(B87,'Runner List'!$B$3:$O$505,7,FALSE),0)</f>
        <v>Male</v>
      </c>
      <c r="F87" s="8" t="str">
        <f>IFERROR(VLOOKUP(B87,'Runner List'!$B$3:$O$505,8,FALSE),0)</f>
        <v>20-39</v>
      </c>
      <c r="G87" s="8" t="str">
        <f>IFERROR(VLOOKUP(B87,'Runner List'!$B$3:$O$505,9,FALSE),0)</f>
        <v>Thai</v>
      </c>
      <c r="H87" s="8" t="str">
        <f>IFERROR(VLOOKUP(B87,'Runner List'!$B$3:$O$505,10,FALSE),0)</f>
        <v>MKT33</v>
      </c>
      <c r="I87" s="109">
        <f>IFERROR(VLOOKUP(B87,'Runner List'!$B$3:$O$505,12,FALSE),0)</f>
        <v>0.22916666666666666</v>
      </c>
    </row>
    <row r="88" spans="1:9" ht="36" customHeight="1">
      <c r="A88" s="8">
        <v>85</v>
      </c>
      <c r="B88" s="49">
        <v>3376</v>
      </c>
      <c r="C88" s="10" t="str">
        <f>IFERROR(VLOOKUP(B88,'Runner List'!$B$3:$O$505,5,FALSE),0)</f>
        <v>THUNYALUK BOONPONG</v>
      </c>
      <c r="D88" s="8" t="str">
        <f>IFERROR(VLOOKUP(B88,'Runner List'!$B$3:$O$505,6,FALSE),0)</f>
        <v>THUNYALUK.B</v>
      </c>
      <c r="E88" s="8" t="str">
        <f>IFERROR(VLOOKUP(B88,'Runner List'!$B$3:$O$505,7,FALSE),0)</f>
        <v>Female</v>
      </c>
      <c r="F88" s="8" t="str">
        <f>IFERROR(VLOOKUP(B88,'Runner List'!$B$3:$O$505,8,FALSE),0)</f>
        <v>20-39</v>
      </c>
      <c r="G88" s="8" t="str">
        <f>IFERROR(VLOOKUP(B88,'Runner List'!$B$3:$O$505,9,FALSE),0)</f>
        <v>Thai</v>
      </c>
      <c r="H88" s="8" t="str">
        <f>IFERROR(VLOOKUP(B88,'Runner List'!$B$3:$O$505,10,FALSE),0)</f>
        <v>MKT33</v>
      </c>
      <c r="I88" s="109">
        <f>IFERROR(VLOOKUP(B88,'Runner List'!$B$3:$O$505,12,FALSE),0)</f>
        <v>0.22916666666666666</v>
      </c>
    </row>
    <row r="89" spans="1:9" ht="36" customHeight="1">
      <c r="A89" s="8">
        <v>86</v>
      </c>
      <c r="B89" s="49">
        <v>3355</v>
      </c>
      <c r="C89" s="10" t="str">
        <f>IFERROR(VLOOKUP(B89,'Runner List'!$B$3:$O$505,5,FALSE),0)</f>
        <v>TORPONG MANSUMRUATKAN</v>
      </c>
      <c r="D89" s="8" t="str">
        <f>IFERROR(VLOOKUP(B89,'Runner List'!$B$3:$O$505,6,FALSE),0)</f>
        <v>TORPONG.M</v>
      </c>
      <c r="E89" s="8" t="str">
        <f>IFERROR(VLOOKUP(B89,'Runner List'!$B$3:$O$505,7,FALSE),0)</f>
        <v>Male</v>
      </c>
      <c r="F89" s="8" t="str">
        <f>IFERROR(VLOOKUP(B89,'Runner List'!$B$3:$O$505,8,FALSE),0)</f>
        <v>20-39</v>
      </c>
      <c r="G89" s="8" t="str">
        <f>IFERROR(VLOOKUP(B89,'Runner List'!$B$3:$O$505,9,FALSE),0)</f>
        <v>Thai</v>
      </c>
      <c r="H89" s="8" t="str">
        <f>IFERROR(VLOOKUP(B89,'Runner List'!$B$3:$O$505,10,FALSE),0)</f>
        <v>MKT33</v>
      </c>
      <c r="I89" s="109">
        <f>IFERROR(VLOOKUP(B89,'Runner List'!$B$3:$O$505,12,FALSE),0)</f>
        <v>0.22916666666666666</v>
      </c>
    </row>
    <row r="90" spans="1:9" ht="36" customHeight="1">
      <c r="A90" s="8">
        <v>87</v>
      </c>
      <c r="B90" s="49">
        <v>3320</v>
      </c>
      <c r="C90" s="10" t="str">
        <f>IFERROR(VLOOKUP(B90,'Runner List'!$B$3:$O$505,5,FALSE),0)</f>
        <v>VATCHARA PUMNOI</v>
      </c>
      <c r="D90" s="8" t="str">
        <f>IFERROR(VLOOKUP(B90,'Runner List'!$B$3:$O$505,6,FALSE),0)</f>
        <v>VATCHARA.P</v>
      </c>
      <c r="E90" s="8" t="str">
        <f>IFERROR(VLOOKUP(B90,'Runner List'!$B$3:$O$505,7,FALSE),0)</f>
        <v>Male</v>
      </c>
      <c r="F90" s="8" t="str">
        <f>IFERROR(VLOOKUP(B90,'Runner List'!$B$3:$O$505,8,FALSE),0)</f>
        <v>50-59</v>
      </c>
      <c r="G90" s="8" t="str">
        <f>IFERROR(VLOOKUP(B90,'Runner List'!$B$3:$O$505,9,FALSE),0)</f>
        <v>Thai</v>
      </c>
      <c r="H90" s="8" t="str">
        <f>IFERROR(VLOOKUP(B90,'Runner List'!$B$3:$O$505,10,FALSE),0)</f>
        <v>MKT33</v>
      </c>
      <c r="I90" s="109">
        <f>IFERROR(VLOOKUP(B90,'Runner List'!$B$3:$O$505,12,FALSE),0)</f>
        <v>0.22916666666666666</v>
      </c>
    </row>
    <row r="91" spans="1:9" ht="36" customHeight="1">
      <c r="A91" s="8">
        <v>88</v>
      </c>
      <c r="B91" s="49">
        <v>3321</v>
      </c>
      <c r="C91" s="10" t="str">
        <f>IFERROR(VLOOKUP(B91,'Runner List'!$B$3:$O$505,5,FALSE),0)</f>
        <v>KHAMNONG SEEDA</v>
      </c>
      <c r="D91" s="8" t="str">
        <f>IFERROR(VLOOKUP(B91,'Runner List'!$B$3:$O$505,6,FALSE),0)</f>
        <v>KHAMNONG.S</v>
      </c>
      <c r="E91" s="8" t="str">
        <f>IFERROR(VLOOKUP(B91,'Runner List'!$B$3:$O$505,7,FALSE),0)</f>
        <v>Female</v>
      </c>
      <c r="F91" s="8" t="str">
        <f>IFERROR(VLOOKUP(B91,'Runner List'!$B$3:$O$505,8,FALSE),0)</f>
        <v>20-39</v>
      </c>
      <c r="G91" s="8" t="str">
        <f>IFERROR(VLOOKUP(B91,'Runner List'!$B$3:$O$505,9,FALSE),0)</f>
        <v>Thai</v>
      </c>
      <c r="H91" s="8" t="str">
        <f>IFERROR(VLOOKUP(B91,'Runner List'!$B$3:$O$505,10,FALSE),0)</f>
        <v>MKT33</v>
      </c>
      <c r="I91" s="109">
        <f>IFERROR(VLOOKUP(B91,'Runner List'!$B$3:$O$505,12,FALSE),0)</f>
        <v>0.22916666666666666</v>
      </c>
    </row>
    <row r="92" spans="1:9" ht="36" customHeight="1">
      <c r="A92" s="8">
        <v>89</v>
      </c>
      <c r="B92" s="49">
        <v>3352</v>
      </c>
      <c r="C92" s="10" t="str">
        <f>IFERROR(VLOOKUP(B92,'Runner List'!$B$3:$O$505,5,FALSE),0)</f>
        <v>NISA KHAMWONGSA</v>
      </c>
      <c r="D92" s="8" t="str">
        <f>IFERROR(VLOOKUP(B92,'Runner List'!$B$3:$O$505,6,FALSE),0)</f>
        <v>NISA.K</v>
      </c>
      <c r="E92" s="8" t="str">
        <f>IFERROR(VLOOKUP(B92,'Runner List'!$B$3:$O$505,7,FALSE),0)</f>
        <v>Female</v>
      </c>
      <c r="F92" s="8" t="str">
        <f>IFERROR(VLOOKUP(B92,'Runner List'!$B$3:$O$505,8,FALSE),0)</f>
        <v>50-59</v>
      </c>
      <c r="G92" s="8" t="str">
        <f>IFERROR(VLOOKUP(B92,'Runner List'!$B$3:$O$505,9,FALSE),0)</f>
        <v>Thai</v>
      </c>
      <c r="H92" s="8" t="str">
        <f>IFERROR(VLOOKUP(B92,'Runner List'!$B$3:$O$505,10,FALSE),0)</f>
        <v>MKT33</v>
      </c>
      <c r="I92" s="109">
        <f>IFERROR(VLOOKUP(B92,'Runner List'!$B$3:$O$505,12,FALSE),0)</f>
        <v>0.22916666666666666</v>
      </c>
    </row>
    <row r="93" spans="1:9" ht="36" customHeight="1">
      <c r="A93" s="8">
        <v>90</v>
      </c>
      <c r="B93" s="49">
        <v>3379</v>
      </c>
      <c r="C93" s="10" t="str">
        <f>IFERROR(VLOOKUP(B93,'Runner List'!$B$3:$O$505,5,FALSE),0)</f>
        <v>ITTIPON UPPAPONG</v>
      </c>
      <c r="D93" s="8" t="str">
        <f>IFERROR(VLOOKUP(B93,'Runner List'!$B$3:$O$505,6,FALSE),0)</f>
        <v>ITTIPON.U</v>
      </c>
      <c r="E93" s="8" t="str">
        <f>IFERROR(VLOOKUP(B93,'Runner List'!$B$3:$O$505,7,FALSE),0)</f>
        <v>Male</v>
      </c>
      <c r="F93" s="8" t="str">
        <f>IFERROR(VLOOKUP(B93,'Runner List'!$B$3:$O$505,8,FALSE),0)</f>
        <v>20-39</v>
      </c>
      <c r="G93" s="8" t="str">
        <f>IFERROR(VLOOKUP(B93,'Runner List'!$B$3:$O$505,9,FALSE),0)</f>
        <v>Thai</v>
      </c>
      <c r="H93" s="8" t="str">
        <f>IFERROR(VLOOKUP(B93,'Runner List'!$B$3:$O$505,10,FALSE),0)</f>
        <v>MKT33</v>
      </c>
      <c r="I93" s="109">
        <f>IFERROR(VLOOKUP(B93,'Runner List'!$B$3:$O$505,12,FALSE),0)</f>
        <v>0.22916666666666666</v>
      </c>
    </row>
    <row r="94" spans="1:9" ht="36" customHeight="1">
      <c r="A94" s="8">
        <v>91</v>
      </c>
      <c r="B94" s="49">
        <v>5038</v>
      </c>
      <c r="C94" s="10" t="str">
        <f>IFERROR(VLOOKUP(B94,'Runner List'!$B$3:$O$505,5,FALSE),0)</f>
        <v>SAMART THONGDANGNGAM</v>
      </c>
      <c r="D94" s="8" t="str">
        <f>IFERROR(VLOOKUP(B94,'Runner List'!$B$3:$O$505,6,FALSE),0)</f>
        <v>SAMART.T</v>
      </c>
      <c r="E94" s="8" t="str">
        <f>IFERROR(VLOOKUP(B94,'Runner List'!$B$3:$O$505,7,FALSE),0)</f>
        <v>Male</v>
      </c>
      <c r="F94" s="8" t="str">
        <f>IFERROR(VLOOKUP(B94,'Runner List'!$B$3:$O$505,8,FALSE),0)</f>
        <v>40-49</v>
      </c>
      <c r="G94" s="8" t="str">
        <f>IFERROR(VLOOKUP(B94,'Runner List'!$B$3:$O$505,9,FALSE),0)</f>
        <v>Thai</v>
      </c>
      <c r="H94" s="8" t="str">
        <f>IFERROR(VLOOKUP(B94,'Runner List'!$B$3:$O$505,10,FALSE),0)</f>
        <v>MKT50</v>
      </c>
      <c r="I94" s="109">
        <f>IFERROR(VLOOKUP(B94,'Runner List'!$B$3:$O$505,12,FALSE),0)</f>
        <v>0.20833333333333334</v>
      </c>
    </row>
    <row r="95" spans="1:9" ht="36" customHeight="1">
      <c r="A95" s="8">
        <v>92</v>
      </c>
      <c r="B95" s="49">
        <v>3359</v>
      </c>
      <c r="C95" s="10" t="str">
        <f>IFERROR(VLOOKUP(B95,'Runner List'!$B$3:$O$505,5,FALSE),0)</f>
        <v>PUTTHAPONG JITRAKYAD</v>
      </c>
      <c r="D95" s="8" t="str">
        <f>IFERROR(VLOOKUP(B95,'Runner List'!$B$3:$O$505,6,FALSE),0)</f>
        <v>PUTTHAPONG.J</v>
      </c>
      <c r="E95" s="8" t="str">
        <f>IFERROR(VLOOKUP(B95,'Runner List'!$B$3:$O$505,7,FALSE),0)</f>
        <v>Male</v>
      </c>
      <c r="F95" s="8" t="str">
        <f>IFERROR(VLOOKUP(B95,'Runner List'!$B$3:$O$505,8,FALSE),0)</f>
        <v>40-49</v>
      </c>
      <c r="G95" s="8" t="str">
        <f>IFERROR(VLOOKUP(B95,'Runner List'!$B$3:$O$505,9,FALSE),0)</f>
        <v>Thai</v>
      </c>
      <c r="H95" s="8" t="str">
        <f>IFERROR(VLOOKUP(B95,'Runner List'!$B$3:$O$505,10,FALSE),0)</f>
        <v>MKT33</v>
      </c>
      <c r="I95" s="109">
        <f>IFERROR(VLOOKUP(B95,'Runner List'!$B$3:$O$505,12,FALSE),0)</f>
        <v>0.22916666666666666</v>
      </c>
    </row>
    <row r="96" spans="1:9" ht="36" customHeight="1">
      <c r="A96" s="8">
        <v>93</v>
      </c>
      <c r="B96" s="49">
        <v>3317</v>
      </c>
      <c r="C96" s="10" t="str">
        <f>IFERROR(VLOOKUP(B96,'Runner List'!$B$3:$O$505,5,FALSE),0)</f>
        <v>PRAYAT JIT-AREE</v>
      </c>
      <c r="D96" s="8" t="str">
        <f>IFERROR(VLOOKUP(B96,'Runner List'!$B$3:$O$505,6,FALSE),0)</f>
        <v>PRAYAT.J</v>
      </c>
      <c r="E96" s="8" t="str">
        <f>IFERROR(VLOOKUP(B96,'Runner List'!$B$3:$O$505,7,FALSE),0)</f>
        <v>Male</v>
      </c>
      <c r="F96" s="8" t="str">
        <f>IFERROR(VLOOKUP(B96,'Runner List'!$B$3:$O$505,8,FALSE),0)</f>
        <v>50-59</v>
      </c>
      <c r="G96" s="8" t="str">
        <f>IFERROR(VLOOKUP(B96,'Runner List'!$B$3:$O$505,9,FALSE),0)</f>
        <v>Thai</v>
      </c>
      <c r="H96" s="8" t="str">
        <f>IFERROR(VLOOKUP(B96,'Runner List'!$B$3:$O$505,10,FALSE),0)</f>
        <v>MKT33</v>
      </c>
      <c r="I96" s="109">
        <f>IFERROR(VLOOKUP(B96,'Runner List'!$B$3:$O$505,12,FALSE),0)</f>
        <v>0.22916666666666666</v>
      </c>
    </row>
    <row r="97" spans="1:9" ht="36" customHeight="1">
      <c r="A97" s="8">
        <v>94</v>
      </c>
      <c r="B97" s="49">
        <v>5042</v>
      </c>
      <c r="C97" s="10" t="str">
        <f>IFERROR(VLOOKUP(B97,'Runner List'!$B$3:$O$505,5,FALSE),0)</f>
        <v>TIMOTHY EDWARDS</v>
      </c>
      <c r="D97" s="8" t="str">
        <f>IFERROR(VLOOKUP(B97,'Runner List'!$B$3:$O$505,6,FALSE),0)</f>
        <v>TIMOTHY.E</v>
      </c>
      <c r="E97" s="8" t="str">
        <f>IFERROR(VLOOKUP(B97,'Runner List'!$B$3:$O$505,7,FALSE),0)</f>
        <v>Male</v>
      </c>
      <c r="F97" s="8" t="str">
        <f>IFERROR(VLOOKUP(B97,'Runner List'!$B$3:$O$505,8,FALSE),0)</f>
        <v>40-49</v>
      </c>
      <c r="G97" s="8" t="str">
        <f>IFERROR(VLOOKUP(B97,'Runner List'!$B$3:$O$505,9,FALSE),0)</f>
        <v>USA</v>
      </c>
      <c r="H97" s="8" t="str">
        <f>IFERROR(VLOOKUP(B97,'Runner List'!$B$3:$O$505,10,FALSE),0)</f>
        <v>MKT50</v>
      </c>
      <c r="I97" s="109">
        <f>IFERROR(VLOOKUP(B97,'Runner List'!$B$3:$O$505,12,FALSE),0)</f>
        <v>0.20833333333333334</v>
      </c>
    </row>
    <row r="98" spans="1:9" ht="36" customHeight="1">
      <c r="A98" s="8">
        <v>95</v>
      </c>
      <c r="B98" s="49">
        <v>3344</v>
      </c>
      <c r="C98" s="10" t="str">
        <f>IFERROR(VLOOKUP(B98,'Runner List'!$B$3:$O$505,5,FALSE),0)</f>
        <v>THANAKORN NERAWAN</v>
      </c>
      <c r="D98" s="8" t="str">
        <f>IFERROR(VLOOKUP(B98,'Runner List'!$B$3:$O$505,6,FALSE),0)</f>
        <v>THANAKORN.N</v>
      </c>
      <c r="E98" s="8" t="str">
        <f>IFERROR(VLOOKUP(B98,'Runner List'!$B$3:$O$505,7,FALSE),0)</f>
        <v>Male</v>
      </c>
      <c r="F98" s="8" t="str">
        <f>IFERROR(VLOOKUP(B98,'Runner List'!$B$3:$O$505,8,FALSE),0)</f>
        <v>20-39</v>
      </c>
      <c r="G98" s="8" t="str">
        <f>IFERROR(VLOOKUP(B98,'Runner List'!$B$3:$O$505,9,FALSE),0)</f>
        <v>Thai</v>
      </c>
      <c r="H98" s="8" t="str">
        <f>IFERROR(VLOOKUP(B98,'Runner List'!$B$3:$O$505,10,FALSE),0)</f>
        <v>MKT33</v>
      </c>
      <c r="I98" s="109">
        <f>IFERROR(VLOOKUP(B98,'Runner List'!$B$3:$O$505,12,FALSE),0)</f>
        <v>0.22916666666666666</v>
      </c>
    </row>
    <row r="99" spans="1:9" ht="36" customHeight="1">
      <c r="A99" s="8">
        <v>96</v>
      </c>
      <c r="B99" s="49">
        <v>5036</v>
      </c>
      <c r="C99" s="10" t="str">
        <f>IFERROR(VLOOKUP(B99,'Runner List'!$B$3:$O$505,5,FALSE),0)</f>
        <v>THANAKIT PRAKAIPHISUT</v>
      </c>
      <c r="D99" s="8" t="str">
        <f>IFERROR(VLOOKUP(B99,'Runner List'!$B$3:$O$505,6,FALSE),0)</f>
        <v>THANAKIT.P</v>
      </c>
      <c r="E99" s="8" t="str">
        <f>IFERROR(VLOOKUP(B99,'Runner List'!$B$3:$O$505,7,FALSE),0)</f>
        <v>Male</v>
      </c>
      <c r="F99" s="8" t="str">
        <f>IFERROR(VLOOKUP(B99,'Runner List'!$B$3:$O$505,8,FALSE),0)</f>
        <v>40-49</v>
      </c>
      <c r="G99" s="8" t="str">
        <f>IFERROR(VLOOKUP(B99,'Runner List'!$B$3:$O$505,9,FALSE),0)</f>
        <v>Thai</v>
      </c>
      <c r="H99" s="8" t="str">
        <f>IFERROR(VLOOKUP(B99,'Runner List'!$B$3:$O$505,10,FALSE),0)</f>
        <v>MKT50</v>
      </c>
      <c r="I99" s="109">
        <f>IFERROR(VLOOKUP(B99,'Runner List'!$B$3:$O$505,12,FALSE),0)</f>
        <v>0.20833333333333334</v>
      </c>
    </row>
    <row r="100" spans="1:9" ht="36" customHeight="1">
      <c r="A100" s="8">
        <v>97</v>
      </c>
      <c r="B100" s="49">
        <v>3388</v>
      </c>
      <c r="C100" s="10" t="str">
        <f>IFERROR(VLOOKUP(B100,'Runner List'!$B$3:$O$505,5,FALSE),0)</f>
        <v>WORAWUT PHUENGPHOCHAROENPHAN</v>
      </c>
      <c r="D100" s="8" t="str">
        <f>IFERROR(VLOOKUP(B100,'Runner List'!$B$3:$O$505,6,FALSE),0)</f>
        <v>WORAWUT.P</v>
      </c>
      <c r="E100" s="8" t="str">
        <f>IFERROR(VLOOKUP(B100,'Runner List'!$B$3:$O$505,7,FALSE),0)</f>
        <v>Male</v>
      </c>
      <c r="F100" s="8" t="str">
        <f>IFERROR(VLOOKUP(B100,'Runner List'!$B$3:$O$505,8,FALSE),0)</f>
        <v>40-49</v>
      </c>
      <c r="G100" s="8" t="str">
        <f>IFERROR(VLOOKUP(B100,'Runner List'!$B$3:$O$505,9,FALSE),0)</f>
        <v>Thai</v>
      </c>
      <c r="H100" s="8" t="str">
        <f>IFERROR(VLOOKUP(B100,'Runner List'!$B$3:$O$505,10,FALSE),0)</f>
        <v>MKT33</v>
      </c>
      <c r="I100" s="109">
        <f>IFERROR(VLOOKUP(B100,'Runner List'!$B$3:$O$505,12,FALSE),0)</f>
        <v>0.22916666666666666</v>
      </c>
    </row>
    <row r="101" spans="1:9" ht="36" customHeight="1">
      <c r="A101" s="8">
        <v>98</v>
      </c>
      <c r="B101" s="49">
        <v>3353</v>
      </c>
      <c r="C101" s="10" t="str">
        <f>IFERROR(VLOOKUP(B101,'Runner List'!$B$3:$O$505,5,FALSE),0)</f>
        <v>MANOO SUKTHANG</v>
      </c>
      <c r="D101" s="8" t="str">
        <f>IFERROR(VLOOKUP(B101,'Runner List'!$B$3:$O$505,6,FALSE),0)</f>
        <v>MANOO.S</v>
      </c>
      <c r="E101" s="8" t="str">
        <f>IFERROR(VLOOKUP(B101,'Runner List'!$B$3:$O$505,7,FALSE),0)</f>
        <v>Male</v>
      </c>
      <c r="F101" s="8" t="str">
        <f>IFERROR(VLOOKUP(B101,'Runner List'!$B$3:$O$505,8,FALSE),0)</f>
        <v>40-49</v>
      </c>
      <c r="G101" s="8" t="str">
        <f>IFERROR(VLOOKUP(B101,'Runner List'!$B$3:$O$505,9,FALSE),0)</f>
        <v>Thai</v>
      </c>
      <c r="H101" s="8" t="str">
        <f>IFERROR(VLOOKUP(B101,'Runner List'!$B$3:$O$505,10,FALSE),0)</f>
        <v>MKT33</v>
      </c>
      <c r="I101" s="109">
        <f>IFERROR(VLOOKUP(B101,'Runner List'!$B$3:$O$505,12,FALSE),0)</f>
        <v>0.22916666666666666</v>
      </c>
    </row>
    <row r="102" spans="1:9" ht="36" customHeight="1">
      <c r="A102" s="8">
        <v>99</v>
      </c>
      <c r="B102" s="49">
        <v>3384</v>
      </c>
      <c r="C102" s="10" t="str">
        <f>IFERROR(VLOOKUP(B102,'Runner List'!$B$3:$O$505,5,FALSE),0)</f>
        <v>SOPHA USUMANI</v>
      </c>
      <c r="D102" s="8" t="str">
        <f>IFERROR(VLOOKUP(B102,'Runner List'!$B$3:$O$505,6,FALSE),0)</f>
        <v>SOPHA.U</v>
      </c>
      <c r="E102" s="8" t="str">
        <f>IFERROR(VLOOKUP(B102,'Runner List'!$B$3:$O$505,7,FALSE),0)</f>
        <v>Female</v>
      </c>
      <c r="F102" s="8" t="str">
        <f>IFERROR(VLOOKUP(B102,'Runner List'!$B$3:$O$505,8,FALSE),0)</f>
        <v>40-49</v>
      </c>
      <c r="G102" s="8" t="str">
        <f>IFERROR(VLOOKUP(B102,'Runner List'!$B$3:$O$505,9,FALSE),0)</f>
        <v>Thai</v>
      </c>
      <c r="H102" s="8" t="str">
        <f>IFERROR(VLOOKUP(B102,'Runner List'!$B$3:$O$505,10,FALSE),0)</f>
        <v>MKT33</v>
      </c>
      <c r="I102" s="109">
        <f>IFERROR(VLOOKUP(B102,'Runner List'!$B$3:$O$505,12,FALSE),0)</f>
        <v>0.22916666666666666</v>
      </c>
    </row>
    <row r="103" spans="1:9" ht="36" customHeight="1">
      <c r="A103" s="8">
        <v>100</v>
      </c>
      <c r="B103" s="49">
        <v>5030</v>
      </c>
      <c r="C103" s="10" t="str">
        <f>IFERROR(VLOOKUP(B103,'Runner List'!$B$3:$O$505,5,FALSE),0)</f>
        <v>WEERAWUT PHABMEK</v>
      </c>
      <c r="D103" s="8" t="str">
        <f>IFERROR(VLOOKUP(B103,'Runner List'!$B$3:$O$505,6,FALSE),0)</f>
        <v>WEERAWUT.P</v>
      </c>
      <c r="E103" s="8" t="str">
        <f>IFERROR(VLOOKUP(B103,'Runner List'!$B$3:$O$505,7,FALSE),0)</f>
        <v>Male</v>
      </c>
      <c r="F103" s="8" t="str">
        <f>IFERROR(VLOOKUP(B103,'Runner List'!$B$3:$O$505,8,FALSE),0)</f>
        <v>50-59</v>
      </c>
      <c r="G103" s="8" t="str">
        <f>IFERROR(VLOOKUP(B103,'Runner List'!$B$3:$O$505,9,FALSE),0)</f>
        <v>Thai</v>
      </c>
      <c r="H103" s="8" t="str">
        <f>IFERROR(VLOOKUP(B103,'Runner List'!$B$3:$O$505,10,FALSE),0)</f>
        <v>MKT50</v>
      </c>
      <c r="I103" s="109">
        <f>IFERROR(VLOOKUP(B103,'Runner List'!$B$3:$O$505,12,FALSE),0)</f>
        <v>0.20833333333333334</v>
      </c>
    </row>
    <row r="104" spans="1:9" ht="36" customHeight="1">
      <c r="A104" s="8">
        <v>101</v>
      </c>
      <c r="B104" s="49">
        <v>3335</v>
      </c>
      <c r="C104" s="10" t="str">
        <f>IFERROR(VLOOKUP(B104,'Runner List'!$B$3:$O$505,5,FALSE),0)</f>
        <v>SUDARAT TAOLAT</v>
      </c>
      <c r="D104" s="8" t="str">
        <f>IFERROR(VLOOKUP(B104,'Runner List'!$B$3:$O$505,6,FALSE),0)</f>
        <v>SUDARAT.T</v>
      </c>
      <c r="E104" s="8" t="str">
        <f>IFERROR(VLOOKUP(B104,'Runner List'!$B$3:$O$505,7,FALSE),0)</f>
        <v>Female</v>
      </c>
      <c r="F104" s="8" t="str">
        <f>IFERROR(VLOOKUP(B104,'Runner List'!$B$3:$O$505,8,FALSE),0)</f>
        <v>20-39</v>
      </c>
      <c r="G104" s="8" t="str">
        <f>IFERROR(VLOOKUP(B104,'Runner List'!$B$3:$O$505,9,FALSE),0)</f>
        <v>Thai</v>
      </c>
      <c r="H104" s="8" t="str">
        <f>IFERROR(VLOOKUP(B104,'Runner List'!$B$3:$O$505,10,FALSE),0)</f>
        <v>MKT33</v>
      </c>
      <c r="I104" s="109">
        <f>IFERROR(VLOOKUP(B104,'Runner List'!$B$3:$O$505,12,FALSE),0)</f>
        <v>0.22916666666666666</v>
      </c>
    </row>
    <row r="105" spans="1:9" ht="36" customHeight="1">
      <c r="A105" s="8">
        <v>102</v>
      </c>
      <c r="B105" s="49" t="s">
        <v>339</v>
      </c>
      <c r="C105" s="10">
        <f>IFERROR(VLOOKUP(B105,'Runner List'!$B$3:$O$505,5,FALSE),0)</f>
        <v>0</v>
      </c>
      <c r="D105" s="8">
        <f>IFERROR(VLOOKUP(B105,'Runner List'!$B$3:$O$505,6,FALSE),0)</f>
        <v>0</v>
      </c>
      <c r="E105" s="8">
        <f>IFERROR(VLOOKUP(B105,'Runner List'!$B$3:$O$505,7,FALSE),0)</f>
        <v>0</v>
      </c>
      <c r="F105" s="8">
        <f>IFERROR(VLOOKUP(B105,'Runner List'!$B$3:$O$505,8,FALSE),0)</f>
        <v>0</v>
      </c>
      <c r="G105" s="8">
        <f>IFERROR(VLOOKUP(B105,'Runner List'!$B$3:$O$505,9,FALSE),0)</f>
        <v>0</v>
      </c>
      <c r="H105" s="8">
        <f>IFERROR(VLOOKUP(B105,'Runner List'!$B$3:$O$505,10,FALSE),0)</f>
        <v>0</v>
      </c>
      <c r="I105" s="109">
        <f>IFERROR(VLOOKUP(B105,'Runner List'!$B$3:$O$505,12,FALSE),0)</f>
        <v>0</v>
      </c>
    </row>
    <row r="106" spans="1:9" ht="36" customHeight="1">
      <c r="A106" s="8">
        <v>103</v>
      </c>
      <c r="B106" s="49"/>
      <c r="C106" s="10">
        <f>IFERROR(VLOOKUP(B106,'Runner List'!$B$3:$O$505,5,FALSE),0)</f>
        <v>0</v>
      </c>
      <c r="D106" s="8">
        <f>IFERROR(VLOOKUP(B106,'Runner List'!$B$3:$O$505,6,FALSE),0)</f>
        <v>0</v>
      </c>
      <c r="E106" s="8">
        <f>IFERROR(VLOOKUP(B106,'Runner List'!$B$3:$O$505,7,FALSE),0)</f>
        <v>0</v>
      </c>
      <c r="F106" s="8">
        <f>IFERROR(VLOOKUP(B106,'Runner List'!$B$3:$O$505,8,FALSE),0)</f>
        <v>0</v>
      </c>
      <c r="G106" s="8">
        <f>IFERROR(VLOOKUP(B106,'Runner List'!$B$3:$O$505,9,FALSE),0)</f>
        <v>0</v>
      </c>
      <c r="H106" s="8">
        <f>IFERROR(VLOOKUP(B106,'Runner List'!$B$3:$O$505,10,FALSE),0)</f>
        <v>0</v>
      </c>
      <c r="I106" s="109">
        <f>IFERROR(VLOOKUP(B106,'Runner List'!$B$3:$O$505,12,FALSE),0)</f>
        <v>0</v>
      </c>
    </row>
    <row r="107" spans="1:9" ht="36" customHeight="1">
      <c r="A107" s="8">
        <v>104</v>
      </c>
      <c r="B107" s="49"/>
      <c r="C107" s="10">
        <f>IFERROR(VLOOKUP(B107,'Runner List'!$B$3:$O$505,5,FALSE),0)</f>
        <v>0</v>
      </c>
      <c r="D107" s="8">
        <f>IFERROR(VLOOKUP(B107,'Runner List'!$B$3:$O$505,6,FALSE),0)</f>
        <v>0</v>
      </c>
      <c r="E107" s="8">
        <f>IFERROR(VLOOKUP(B107,'Runner List'!$B$3:$O$505,7,FALSE),0)</f>
        <v>0</v>
      </c>
      <c r="F107" s="8">
        <f>IFERROR(VLOOKUP(B107,'Runner List'!$B$3:$O$505,8,FALSE),0)</f>
        <v>0</v>
      </c>
      <c r="G107" s="8">
        <f>IFERROR(VLOOKUP(B107,'Runner List'!$B$3:$O$505,9,FALSE),0)</f>
        <v>0</v>
      </c>
      <c r="H107" s="8">
        <f>IFERROR(VLOOKUP(B107,'Runner List'!$B$3:$O$505,10,FALSE),0)</f>
        <v>0</v>
      </c>
      <c r="I107" s="109">
        <f>IFERROR(VLOOKUP(B107,'Runner List'!$B$3:$O$505,12,FALSE),0)</f>
        <v>0</v>
      </c>
    </row>
    <row r="108" spans="1:9" ht="36" customHeight="1">
      <c r="A108" s="8">
        <v>105</v>
      </c>
      <c r="B108" s="49"/>
      <c r="C108" s="10">
        <f>IFERROR(VLOOKUP(B108,'Runner List'!$B$3:$O$505,5,FALSE),0)</f>
        <v>0</v>
      </c>
      <c r="D108" s="8">
        <f>IFERROR(VLOOKUP(B108,'Runner List'!$B$3:$O$505,6,FALSE),0)</f>
        <v>0</v>
      </c>
      <c r="E108" s="8">
        <f>IFERROR(VLOOKUP(B108,'Runner List'!$B$3:$O$505,7,FALSE),0)</f>
        <v>0</v>
      </c>
      <c r="F108" s="8">
        <f>IFERROR(VLOOKUP(B108,'Runner List'!$B$3:$O$505,8,FALSE),0)</f>
        <v>0</v>
      </c>
      <c r="G108" s="8">
        <f>IFERROR(VLOOKUP(B108,'Runner List'!$B$3:$O$505,9,FALSE),0)</f>
        <v>0</v>
      </c>
      <c r="H108" s="8">
        <f>IFERROR(VLOOKUP(B108,'Runner List'!$B$3:$O$505,10,FALSE),0)</f>
        <v>0</v>
      </c>
      <c r="I108" s="109">
        <f>IFERROR(VLOOKUP(B108,'Runner List'!$B$3:$O$505,12,FALSE),0)</f>
        <v>0</v>
      </c>
    </row>
    <row r="109" spans="1:9" ht="36" customHeight="1">
      <c r="A109" s="8">
        <v>106</v>
      </c>
      <c r="B109" s="49"/>
      <c r="C109" s="10">
        <f>IFERROR(VLOOKUP(B109,'Runner List'!$B$3:$O$505,5,FALSE),0)</f>
        <v>0</v>
      </c>
      <c r="D109" s="8">
        <f>IFERROR(VLOOKUP(B109,'Runner List'!$B$3:$O$505,6,FALSE),0)</f>
        <v>0</v>
      </c>
      <c r="E109" s="8">
        <f>IFERROR(VLOOKUP(B109,'Runner List'!$B$3:$O$505,7,FALSE),0)</f>
        <v>0</v>
      </c>
      <c r="F109" s="8">
        <f>IFERROR(VLOOKUP(B109,'Runner List'!$B$3:$O$505,8,FALSE),0)</f>
        <v>0</v>
      </c>
      <c r="G109" s="8">
        <f>IFERROR(VLOOKUP(B109,'Runner List'!$B$3:$O$505,9,FALSE),0)</f>
        <v>0</v>
      </c>
      <c r="H109" s="8">
        <f>IFERROR(VLOOKUP(B109,'Runner List'!$B$3:$O$505,10,FALSE),0)</f>
        <v>0</v>
      </c>
      <c r="I109" s="109">
        <f>IFERROR(VLOOKUP(B109,'Runner List'!$B$3:$O$505,12,FALSE),0)</f>
        <v>0</v>
      </c>
    </row>
    <row r="110" spans="1:9" ht="36" customHeight="1">
      <c r="A110" s="8">
        <v>107</v>
      </c>
      <c r="B110" s="49"/>
      <c r="C110" s="10">
        <f>IFERROR(VLOOKUP(B110,'Runner List'!$B$3:$O$505,5,FALSE),0)</f>
        <v>0</v>
      </c>
      <c r="D110" s="8">
        <f>IFERROR(VLOOKUP(B110,'Runner List'!$B$3:$O$505,6,FALSE),0)</f>
        <v>0</v>
      </c>
      <c r="E110" s="8">
        <f>IFERROR(VLOOKUP(B110,'Runner List'!$B$3:$O$505,7,FALSE),0)</f>
        <v>0</v>
      </c>
      <c r="F110" s="8">
        <f>IFERROR(VLOOKUP(B110,'Runner List'!$B$3:$O$505,8,FALSE),0)</f>
        <v>0</v>
      </c>
      <c r="G110" s="8">
        <f>IFERROR(VLOOKUP(B110,'Runner List'!$B$3:$O$505,9,FALSE),0)</f>
        <v>0</v>
      </c>
      <c r="H110" s="8">
        <f>IFERROR(VLOOKUP(B110,'Runner List'!$B$3:$O$505,10,FALSE),0)</f>
        <v>0</v>
      </c>
      <c r="I110" s="109">
        <f>IFERROR(VLOOKUP(B110,'Runner List'!$B$3:$O$505,12,FALSE),0)</f>
        <v>0</v>
      </c>
    </row>
    <row r="111" spans="1:9" ht="36" customHeight="1">
      <c r="A111" s="8">
        <v>108</v>
      </c>
      <c r="B111" s="49"/>
      <c r="C111" s="10">
        <f>IFERROR(VLOOKUP(B111,'Runner List'!$B$3:$O$505,5,FALSE),0)</f>
        <v>0</v>
      </c>
      <c r="D111" s="8">
        <f>IFERROR(VLOOKUP(B111,'Runner List'!$B$3:$O$505,6,FALSE),0)</f>
        <v>0</v>
      </c>
      <c r="E111" s="8">
        <f>IFERROR(VLOOKUP(B111,'Runner List'!$B$3:$O$505,7,FALSE),0)</f>
        <v>0</v>
      </c>
      <c r="F111" s="8">
        <f>IFERROR(VLOOKUP(B111,'Runner List'!$B$3:$O$505,8,FALSE),0)</f>
        <v>0</v>
      </c>
      <c r="G111" s="8">
        <f>IFERROR(VLOOKUP(B111,'Runner List'!$B$3:$O$505,9,FALSE),0)</f>
        <v>0</v>
      </c>
      <c r="H111" s="8">
        <f>IFERROR(VLOOKUP(B111,'Runner List'!$B$3:$O$505,10,FALSE),0)</f>
        <v>0</v>
      </c>
      <c r="I111" s="109">
        <f>IFERROR(VLOOKUP(B111,'Runner List'!$B$3:$O$505,12,FALSE),0)</f>
        <v>0</v>
      </c>
    </row>
    <row r="112" spans="1:9" ht="36" customHeight="1">
      <c r="A112" s="8">
        <v>109</v>
      </c>
      <c r="B112" s="49"/>
      <c r="C112" s="10">
        <f>IFERROR(VLOOKUP(B112,'Runner List'!$B$3:$O$505,5,FALSE),0)</f>
        <v>0</v>
      </c>
      <c r="D112" s="8">
        <f>IFERROR(VLOOKUP(B112,'Runner List'!$B$3:$O$505,6,FALSE),0)</f>
        <v>0</v>
      </c>
      <c r="E112" s="8">
        <f>IFERROR(VLOOKUP(B112,'Runner List'!$B$3:$O$505,7,FALSE),0)</f>
        <v>0</v>
      </c>
      <c r="F112" s="8">
        <f>IFERROR(VLOOKUP(B112,'Runner List'!$B$3:$O$505,8,FALSE),0)</f>
        <v>0</v>
      </c>
      <c r="G112" s="8">
        <f>IFERROR(VLOOKUP(B112,'Runner List'!$B$3:$O$505,9,FALSE),0)</f>
        <v>0</v>
      </c>
      <c r="H112" s="8">
        <f>IFERROR(VLOOKUP(B112,'Runner List'!$B$3:$O$505,10,FALSE),0)</f>
        <v>0</v>
      </c>
      <c r="I112" s="109">
        <f>IFERROR(VLOOKUP(B112,'Runner List'!$B$3:$O$505,12,FALSE),0)</f>
        <v>0</v>
      </c>
    </row>
    <row r="113" spans="1:9" ht="36" customHeight="1">
      <c r="A113" s="8">
        <v>110</v>
      </c>
      <c r="B113" s="49"/>
      <c r="C113" s="10">
        <f>IFERROR(VLOOKUP(B113,'Runner List'!$B$3:$O$505,5,FALSE),0)</f>
        <v>0</v>
      </c>
      <c r="D113" s="8">
        <f>IFERROR(VLOOKUP(B113,'Runner List'!$B$3:$O$505,6,FALSE),0)</f>
        <v>0</v>
      </c>
      <c r="E113" s="8">
        <f>IFERROR(VLOOKUP(B113,'Runner List'!$B$3:$O$505,7,FALSE),0)</f>
        <v>0</v>
      </c>
      <c r="F113" s="8">
        <f>IFERROR(VLOOKUP(B113,'Runner List'!$B$3:$O$505,8,FALSE),0)</f>
        <v>0</v>
      </c>
      <c r="G113" s="8">
        <f>IFERROR(VLOOKUP(B113,'Runner List'!$B$3:$O$505,9,FALSE),0)</f>
        <v>0</v>
      </c>
      <c r="H113" s="8">
        <f>IFERROR(VLOOKUP(B113,'Runner List'!$B$3:$O$505,10,FALSE),0)</f>
        <v>0</v>
      </c>
      <c r="I113" s="109">
        <f>IFERROR(VLOOKUP(B113,'Runner List'!$B$3:$O$505,12,FALSE),0)</f>
        <v>0</v>
      </c>
    </row>
    <row r="114" spans="1:9" ht="36" customHeight="1">
      <c r="A114" s="8">
        <v>111</v>
      </c>
      <c r="B114" s="49"/>
      <c r="C114" s="10">
        <f>IFERROR(VLOOKUP(B114,'Runner List'!$B$3:$O$505,5,FALSE),0)</f>
        <v>0</v>
      </c>
      <c r="D114" s="8">
        <f>IFERROR(VLOOKUP(B114,'Runner List'!$B$3:$O$505,6,FALSE),0)</f>
        <v>0</v>
      </c>
      <c r="E114" s="8">
        <f>IFERROR(VLOOKUP(B114,'Runner List'!$B$3:$O$505,7,FALSE),0)</f>
        <v>0</v>
      </c>
      <c r="F114" s="8">
        <f>IFERROR(VLOOKUP(B114,'Runner List'!$B$3:$O$505,8,FALSE),0)</f>
        <v>0</v>
      </c>
      <c r="G114" s="8">
        <f>IFERROR(VLOOKUP(B114,'Runner List'!$B$3:$O$505,9,FALSE),0)</f>
        <v>0</v>
      </c>
      <c r="H114" s="8">
        <f>IFERROR(VLOOKUP(B114,'Runner List'!$B$3:$O$505,10,FALSE),0)</f>
        <v>0</v>
      </c>
      <c r="I114" s="109">
        <f>IFERROR(VLOOKUP(B114,'Runner List'!$B$3:$O$505,12,FALSE),0)</f>
        <v>0</v>
      </c>
    </row>
    <row r="115" spans="1:9" ht="36" customHeight="1">
      <c r="A115" s="8">
        <v>112</v>
      </c>
      <c r="B115" s="49"/>
      <c r="C115" s="10">
        <f>IFERROR(VLOOKUP(B115,'Runner List'!$B$3:$O$505,5,FALSE),0)</f>
        <v>0</v>
      </c>
      <c r="D115" s="8">
        <f>IFERROR(VLOOKUP(B115,'Runner List'!$B$3:$O$505,6,FALSE),0)</f>
        <v>0</v>
      </c>
      <c r="E115" s="8">
        <f>IFERROR(VLOOKUP(B115,'Runner List'!$B$3:$O$505,7,FALSE),0)</f>
        <v>0</v>
      </c>
      <c r="F115" s="8">
        <f>IFERROR(VLOOKUP(B115,'Runner List'!$B$3:$O$505,8,FALSE),0)</f>
        <v>0</v>
      </c>
      <c r="G115" s="8">
        <f>IFERROR(VLOOKUP(B115,'Runner List'!$B$3:$O$505,9,FALSE),0)</f>
        <v>0</v>
      </c>
      <c r="H115" s="8">
        <f>IFERROR(VLOOKUP(B115,'Runner List'!$B$3:$O$505,10,FALSE),0)</f>
        <v>0</v>
      </c>
      <c r="I115" s="109">
        <f>IFERROR(VLOOKUP(B115,'Runner List'!$B$3:$O$505,12,FALSE),0)</f>
        <v>0</v>
      </c>
    </row>
    <row r="116" spans="1:9" ht="36" customHeight="1">
      <c r="A116" s="8">
        <v>113</v>
      </c>
      <c r="B116" s="49"/>
      <c r="C116" s="10">
        <f>IFERROR(VLOOKUP(B116,'Runner List'!$B$3:$O$505,5,FALSE),0)</f>
        <v>0</v>
      </c>
      <c r="D116" s="8">
        <f>IFERROR(VLOOKUP(B116,'Runner List'!$B$3:$O$505,6,FALSE),0)</f>
        <v>0</v>
      </c>
      <c r="E116" s="8">
        <f>IFERROR(VLOOKUP(B116,'Runner List'!$B$3:$O$505,7,FALSE),0)</f>
        <v>0</v>
      </c>
      <c r="F116" s="8">
        <f>IFERROR(VLOOKUP(B116,'Runner List'!$B$3:$O$505,8,FALSE),0)</f>
        <v>0</v>
      </c>
      <c r="G116" s="8">
        <f>IFERROR(VLOOKUP(B116,'Runner List'!$B$3:$O$505,9,FALSE),0)</f>
        <v>0</v>
      </c>
      <c r="H116" s="8">
        <f>IFERROR(VLOOKUP(B116,'Runner List'!$B$3:$O$505,10,FALSE),0)</f>
        <v>0</v>
      </c>
      <c r="I116" s="109">
        <f>IFERROR(VLOOKUP(B116,'Runner List'!$B$3:$O$505,12,FALSE),0)</f>
        <v>0</v>
      </c>
    </row>
    <row r="117" spans="1:9" ht="36" customHeight="1">
      <c r="A117" s="8">
        <v>114</v>
      </c>
      <c r="B117" s="49"/>
      <c r="C117" s="10">
        <f>IFERROR(VLOOKUP(B117,'Runner List'!$B$3:$O$505,5,FALSE),0)</f>
        <v>0</v>
      </c>
      <c r="D117" s="8">
        <f>IFERROR(VLOOKUP(B117,'Runner List'!$B$3:$O$505,6,FALSE),0)</f>
        <v>0</v>
      </c>
      <c r="E117" s="8">
        <f>IFERROR(VLOOKUP(B117,'Runner List'!$B$3:$O$505,7,FALSE),0)</f>
        <v>0</v>
      </c>
      <c r="F117" s="8">
        <f>IFERROR(VLOOKUP(B117,'Runner List'!$B$3:$O$505,8,FALSE),0)</f>
        <v>0</v>
      </c>
      <c r="G117" s="8">
        <f>IFERROR(VLOOKUP(B117,'Runner List'!$B$3:$O$505,9,FALSE),0)</f>
        <v>0</v>
      </c>
      <c r="H117" s="8">
        <f>IFERROR(VLOOKUP(B117,'Runner List'!$B$3:$O$505,10,FALSE),0)</f>
        <v>0</v>
      </c>
      <c r="I117" s="109">
        <f>IFERROR(VLOOKUP(B117,'Runner List'!$B$3:$O$505,12,FALSE),0)</f>
        <v>0</v>
      </c>
    </row>
    <row r="118" spans="1:9" ht="36" customHeight="1">
      <c r="A118" s="8">
        <v>115</v>
      </c>
      <c r="B118" s="49"/>
      <c r="C118" s="10">
        <f>IFERROR(VLOOKUP(B118,'Runner List'!$B$3:$O$505,5,FALSE),0)</f>
        <v>0</v>
      </c>
      <c r="D118" s="8">
        <f>IFERROR(VLOOKUP(B118,'Runner List'!$B$3:$O$505,6,FALSE),0)</f>
        <v>0</v>
      </c>
      <c r="E118" s="8">
        <f>IFERROR(VLOOKUP(B118,'Runner List'!$B$3:$O$505,7,FALSE),0)</f>
        <v>0</v>
      </c>
      <c r="F118" s="8">
        <f>IFERROR(VLOOKUP(B118,'Runner List'!$B$3:$O$505,8,FALSE),0)</f>
        <v>0</v>
      </c>
      <c r="G118" s="8">
        <f>IFERROR(VLOOKUP(B118,'Runner List'!$B$3:$O$505,9,FALSE),0)</f>
        <v>0</v>
      </c>
      <c r="H118" s="8">
        <f>IFERROR(VLOOKUP(B118,'Runner List'!$B$3:$O$505,10,FALSE),0)</f>
        <v>0</v>
      </c>
      <c r="I118" s="109">
        <f>IFERROR(VLOOKUP(B118,'Runner List'!$B$3:$O$505,12,FALSE),0)</f>
        <v>0</v>
      </c>
    </row>
    <row r="119" spans="1:9" ht="36" customHeight="1">
      <c r="A119" s="8">
        <v>116</v>
      </c>
      <c r="B119" s="49"/>
      <c r="C119" s="10">
        <f>IFERROR(VLOOKUP(B119,'Runner List'!$B$3:$O$505,5,FALSE),0)</f>
        <v>0</v>
      </c>
      <c r="D119" s="8">
        <f>IFERROR(VLOOKUP(B119,'Runner List'!$B$3:$O$505,6,FALSE),0)</f>
        <v>0</v>
      </c>
      <c r="E119" s="8">
        <f>IFERROR(VLOOKUP(B119,'Runner List'!$B$3:$O$505,7,FALSE),0)</f>
        <v>0</v>
      </c>
      <c r="F119" s="8">
        <f>IFERROR(VLOOKUP(B119,'Runner List'!$B$3:$O$505,8,FALSE),0)</f>
        <v>0</v>
      </c>
      <c r="G119" s="8">
        <f>IFERROR(VLOOKUP(B119,'Runner List'!$B$3:$O$505,9,FALSE),0)</f>
        <v>0</v>
      </c>
      <c r="H119" s="8">
        <f>IFERROR(VLOOKUP(B119,'Runner List'!$B$3:$O$505,10,FALSE),0)</f>
        <v>0</v>
      </c>
      <c r="I119" s="109">
        <f>IFERROR(VLOOKUP(B119,'Runner List'!$B$3:$O$505,12,FALSE),0)</f>
        <v>0</v>
      </c>
    </row>
    <row r="120" spans="1:9" ht="36" customHeight="1">
      <c r="A120" s="8">
        <v>117</v>
      </c>
      <c r="B120" s="49"/>
      <c r="C120" s="10">
        <f>IFERROR(VLOOKUP(B120,'Runner List'!$B$3:$O$505,5,FALSE),0)</f>
        <v>0</v>
      </c>
      <c r="D120" s="8">
        <f>IFERROR(VLOOKUP(B120,'Runner List'!$B$3:$O$505,6,FALSE),0)</f>
        <v>0</v>
      </c>
      <c r="E120" s="8">
        <f>IFERROR(VLOOKUP(B120,'Runner List'!$B$3:$O$505,7,FALSE),0)</f>
        <v>0</v>
      </c>
      <c r="F120" s="8">
        <f>IFERROR(VLOOKUP(B120,'Runner List'!$B$3:$O$505,8,FALSE),0)</f>
        <v>0</v>
      </c>
      <c r="G120" s="8">
        <f>IFERROR(VLOOKUP(B120,'Runner List'!$B$3:$O$505,9,FALSE),0)</f>
        <v>0</v>
      </c>
      <c r="H120" s="8">
        <f>IFERROR(VLOOKUP(B120,'Runner List'!$B$3:$O$505,10,FALSE),0)</f>
        <v>0</v>
      </c>
      <c r="I120" s="109">
        <f>IFERROR(VLOOKUP(B120,'Runner List'!$B$3:$O$505,12,FALSE),0)</f>
        <v>0</v>
      </c>
    </row>
    <row r="121" spans="1:9" ht="36" customHeight="1">
      <c r="A121" s="8">
        <v>118</v>
      </c>
      <c r="B121" s="49"/>
      <c r="C121" s="10">
        <f>IFERROR(VLOOKUP(B121,'Runner List'!$B$3:$O$505,5,FALSE),0)</f>
        <v>0</v>
      </c>
      <c r="D121" s="8">
        <f>IFERROR(VLOOKUP(B121,'Runner List'!$B$3:$O$505,6,FALSE),0)</f>
        <v>0</v>
      </c>
      <c r="E121" s="8">
        <f>IFERROR(VLOOKUP(B121,'Runner List'!$B$3:$O$505,7,FALSE),0)</f>
        <v>0</v>
      </c>
      <c r="F121" s="8">
        <f>IFERROR(VLOOKUP(B121,'Runner List'!$B$3:$O$505,8,FALSE),0)</f>
        <v>0</v>
      </c>
      <c r="G121" s="8">
        <f>IFERROR(VLOOKUP(B121,'Runner List'!$B$3:$O$505,9,FALSE),0)</f>
        <v>0</v>
      </c>
      <c r="H121" s="8">
        <f>IFERROR(VLOOKUP(B121,'Runner List'!$B$3:$O$505,10,FALSE),0)</f>
        <v>0</v>
      </c>
      <c r="I121" s="109">
        <f>IFERROR(VLOOKUP(B121,'Runner List'!$B$3:$O$505,12,FALSE),0)</f>
        <v>0</v>
      </c>
    </row>
    <row r="122" spans="1:9" ht="36" customHeight="1">
      <c r="A122" s="8">
        <v>119</v>
      </c>
      <c r="B122" s="49"/>
      <c r="C122" s="10">
        <f>IFERROR(VLOOKUP(B122,'Runner List'!$B$3:$O$505,5,FALSE),0)</f>
        <v>0</v>
      </c>
      <c r="D122" s="8">
        <f>IFERROR(VLOOKUP(B122,'Runner List'!$B$3:$O$505,6,FALSE),0)</f>
        <v>0</v>
      </c>
      <c r="E122" s="8">
        <f>IFERROR(VLOOKUP(B122,'Runner List'!$B$3:$O$505,7,FALSE),0)</f>
        <v>0</v>
      </c>
      <c r="F122" s="8">
        <f>IFERROR(VLOOKUP(B122,'Runner List'!$B$3:$O$505,8,FALSE),0)</f>
        <v>0</v>
      </c>
      <c r="G122" s="8">
        <f>IFERROR(VLOOKUP(B122,'Runner List'!$B$3:$O$505,9,FALSE),0)</f>
        <v>0</v>
      </c>
      <c r="H122" s="8">
        <f>IFERROR(VLOOKUP(B122,'Runner List'!$B$3:$O$505,10,FALSE),0)</f>
        <v>0</v>
      </c>
      <c r="I122" s="109">
        <f>IFERROR(VLOOKUP(B122,'Runner List'!$B$3:$O$505,12,FALSE),0)</f>
        <v>0</v>
      </c>
    </row>
    <row r="123" spans="1:9" ht="36" customHeight="1">
      <c r="A123" s="8">
        <v>120</v>
      </c>
      <c r="B123" s="49"/>
      <c r="C123" s="10">
        <f>IFERROR(VLOOKUP(B123,'Runner List'!$B$3:$O$505,5,FALSE),0)</f>
        <v>0</v>
      </c>
      <c r="D123" s="8">
        <f>IFERROR(VLOOKUP(B123,'Runner List'!$B$3:$O$505,6,FALSE),0)</f>
        <v>0</v>
      </c>
      <c r="E123" s="8">
        <f>IFERROR(VLOOKUP(B123,'Runner List'!$B$3:$O$505,7,FALSE),0)</f>
        <v>0</v>
      </c>
      <c r="F123" s="8">
        <f>IFERROR(VLOOKUP(B123,'Runner List'!$B$3:$O$505,8,FALSE),0)</f>
        <v>0</v>
      </c>
      <c r="G123" s="8">
        <f>IFERROR(VLOOKUP(B123,'Runner List'!$B$3:$O$505,9,FALSE),0)</f>
        <v>0</v>
      </c>
      <c r="H123" s="8">
        <f>IFERROR(VLOOKUP(B123,'Runner List'!$B$3:$O$505,10,FALSE),0)</f>
        <v>0</v>
      </c>
      <c r="I123" s="109">
        <f>IFERROR(VLOOKUP(B123,'Runner List'!$B$3:$O$505,12,FALSE),0)</f>
        <v>0</v>
      </c>
    </row>
    <row r="124" spans="1:9" ht="36" customHeight="1">
      <c r="A124" s="8">
        <v>121</v>
      </c>
      <c r="B124" s="49"/>
      <c r="C124" s="10">
        <f>IFERROR(VLOOKUP(B124,'Runner List'!$B$3:$O$505,5,FALSE),0)</f>
        <v>0</v>
      </c>
      <c r="D124" s="8">
        <f>IFERROR(VLOOKUP(B124,'Runner List'!$B$3:$O$505,6,FALSE),0)</f>
        <v>0</v>
      </c>
      <c r="E124" s="8">
        <f>IFERROR(VLOOKUP(B124,'Runner List'!$B$3:$O$505,7,FALSE),0)</f>
        <v>0</v>
      </c>
      <c r="F124" s="8">
        <f>IFERROR(VLOOKUP(B124,'Runner List'!$B$3:$O$505,8,FALSE),0)</f>
        <v>0</v>
      </c>
      <c r="G124" s="8">
        <f>IFERROR(VLOOKUP(B124,'Runner List'!$B$3:$O$505,9,FALSE),0)</f>
        <v>0</v>
      </c>
      <c r="H124" s="8">
        <f>IFERROR(VLOOKUP(B124,'Runner List'!$B$3:$O$505,10,FALSE),0)</f>
        <v>0</v>
      </c>
      <c r="I124" s="109">
        <f>IFERROR(VLOOKUP(B124,'Runner List'!$B$3:$O$505,12,FALSE),0)</f>
        <v>0</v>
      </c>
    </row>
    <row r="125" spans="1:9" ht="36" customHeight="1">
      <c r="A125" s="8">
        <v>122</v>
      </c>
      <c r="B125" s="49"/>
      <c r="C125" s="10">
        <f>IFERROR(VLOOKUP(B125,'Runner List'!$B$3:$O$505,5,FALSE),0)</f>
        <v>0</v>
      </c>
      <c r="D125" s="8">
        <f>IFERROR(VLOOKUP(B125,'Runner List'!$B$3:$O$505,6,FALSE),0)</f>
        <v>0</v>
      </c>
      <c r="E125" s="8">
        <f>IFERROR(VLOOKUP(B125,'Runner List'!$B$3:$O$505,7,FALSE),0)</f>
        <v>0</v>
      </c>
      <c r="F125" s="8">
        <f>IFERROR(VLOOKUP(B125,'Runner List'!$B$3:$O$505,8,FALSE),0)</f>
        <v>0</v>
      </c>
      <c r="G125" s="8">
        <f>IFERROR(VLOOKUP(B125,'Runner List'!$B$3:$O$505,9,FALSE),0)</f>
        <v>0</v>
      </c>
      <c r="H125" s="8">
        <f>IFERROR(VLOOKUP(B125,'Runner List'!$B$3:$O$505,10,FALSE),0)</f>
        <v>0</v>
      </c>
      <c r="I125" s="109">
        <f>IFERROR(VLOOKUP(B125,'Runner List'!$B$3:$O$505,12,FALSE),0)</f>
        <v>0</v>
      </c>
    </row>
    <row r="126" spans="1:9" ht="36" customHeight="1">
      <c r="A126" s="8">
        <v>123</v>
      </c>
      <c r="B126" s="49"/>
      <c r="C126" s="10">
        <f>IFERROR(VLOOKUP(B126,'Runner List'!$B$3:$O$505,5,FALSE),0)</f>
        <v>0</v>
      </c>
      <c r="D126" s="8">
        <f>IFERROR(VLOOKUP(B126,'Runner List'!$B$3:$O$505,6,FALSE),0)</f>
        <v>0</v>
      </c>
      <c r="E126" s="8">
        <f>IFERROR(VLOOKUP(B126,'Runner List'!$B$3:$O$505,7,FALSE),0)</f>
        <v>0</v>
      </c>
      <c r="F126" s="8">
        <f>IFERROR(VLOOKUP(B126,'Runner List'!$B$3:$O$505,8,FALSE),0)</f>
        <v>0</v>
      </c>
      <c r="G126" s="8">
        <f>IFERROR(VLOOKUP(B126,'Runner List'!$B$3:$O$505,9,FALSE),0)</f>
        <v>0</v>
      </c>
      <c r="H126" s="8">
        <f>IFERROR(VLOOKUP(B126,'Runner List'!$B$3:$O$505,10,FALSE),0)</f>
        <v>0</v>
      </c>
      <c r="I126" s="109">
        <f>IFERROR(VLOOKUP(B126,'Runner List'!$B$3:$O$505,12,FALSE),0)</f>
        <v>0</v>
      </c>
    </row>
    <row r="127" spans="1:9" ht="36" customHeight="1">
      <c r="A127" s="8">
        <v>124</v>
      </c>
      <c r="B127" s="49"/>
      <c r="C127" s="10">
        <f>IFERROR(VLOOKUP(B127,'Runner List'!$B$3:$O$505,5,FALSE),0)</f>
        <v>0</v>
      </c>
      <c r="D127" s="8">
        <f>IFERROR(VLOOKUP(B127,'Runner List'!$B$3:$O$505,6,FALSE),0)</f>
        <v>0</v>
      </c>
      <c r="E127" s="8">
        <f>IFERROR(VLOOKUP(B127,'Runner List'!$B$3:$O$505,7,FALSE),0)</f>
        <v>0</v>
      </c>
      <c r="F127" s="8">
        <f>IFERROR(VLOOKUP(B127,'Runner List'!$B$3:$O$505,8,FALSE),0)</f>
        <v>0</v>
      </c>
      <c r="G127" s="8">
        <f>IFERROR(VLOOKUP(B127,'Runner List'!$B$3:$O$505,9,FALSE),0)</f>
        <v>0</v>
      </c>
      <c r="H127" s="8">
        <f>IFERROR(VLOOKUP(B127,'Runner List'!$B$3:$O$505,10,FALSE),0)</f>
        <v>0</v>
      </c>
      <c r="I127" s="109">
        <f>IFERROR(VLOOKUP(B127,'Runner List'!$B$3:$O$505,12,FALSE),0)</f>
        <v>0</v>
      </c>
    </row>
    <row r="128" spans="1:9" ht="36" customHeight="1">
      <c r="A128" s="8">
        <v>125</v>
      </c>
      <c r="B128" s="49"/>
      <c r="C128" s="10">
        <f>IFERROR(VLOOKUP(B128,'Runner List'!$B$3:$O$505,5,FALSE),0)</f>
        <v>0</v>
      </c>
      <c r="D128" s="8">
        <f>IFERROR(VLOOKUP(B128,'Runner List'!$B$3:$O$505,6,FALSE),0)</f>
        <v>0</v>
      </c>
      <c r="E128" s="8">
        <f>IFERROR(VLOOKUP(B128,'Runner List'!$B$3:$O$505,7,FALSE),0)</f>
        <v>0</v>
      </c>
      <c r="F128" s="8">
        <f>IFERROR(VLOOKUP(B128,'Runner List'!$B$3:$O$505,8,FALSE),0)</f>
        <v>0</v>
      </c>
      <c r="G128" s="8">
        <f>IFERROR(VLOOKUP(B128,'Runner List'!$B$3:$O$505,9,FALSE),0)</f>
        <v>0</v>
      </c>
      <c r="H128" s="8">
        <f>IFERROR(VLOOKUP(B128,'Runner List'!$B$3:$O$505,10,FALSE),0)</f>
        <v>0</v>
      </c>
      <c r="I128" s="109">
        <f>IFERROR(VLOOKUP(B128,'Runner List'!$B$3:$O$505,12,FALSE),0)</f>
        <v>0</v>
      </c>
    </row>
    <row r="129" spans="1:9" ht="36" customHeight="1">
      <c r="A129" s="8">
        <v>126</v>
      </c>
      <c r="B129" s="49"/>
      <c r="C129" s="10">
        <f>IFERROR(VLOOKUP(B129,'Runner List'!$B$3:$O$505,5,FALSE),0)</f>
        <v>0</v>
      </c>
      <c r="D129" s="8">
        <f>IFERROR(VLOOKUP(B129,'Runner List'!$B$3:$O$505,6,FALSE),0)</f>
        <v>0</v>
      </c>
      <c r="E129" s="8">
        <f>IFERROR(VLOOKUP(B129,'Runner List'!$B$3:$O$505,7,FALSE),0)</f>
        <v>0</v>
      </c>
      <c r="F129" s="8">
        <f>IFERROR(VLOOKUP(B129,'Runner List'!$B$3:$O$505,8,FALSE),0)</f>
        <v>0</v>
      </c>
      <c r="G129" s="8">
        <f>IFERROR(VLOOKUP(B129,'Runner List'!$B$3:$O$505,9,FALSE),0)</f>
        <v>0</v>
      </c>
      <c r="H129" s="8">
        <f>IFERROR(VLOOKUP(B129,'Runner List'!$B$3:$O$505,10,FALSE),0)</f>
        <v>0</v>
      </c>
      <c r="I129" s="109">
        <f>IFERROR(VLOOKUP(B129,'Runner List'!$B$3:$O$505,12,FALSE),0)</f>
        <v>0</v>
      </c>
    </row>
    <row r="130" spans="1:9" ht="36" customHeight="1">
      <c r="A130" s="8">
        <v>127</v>
      </c>
      <c r="B130" s="49"/>
      <c r="C130" s="10">
        <f>IFERROR(VLOOKUP(B130,'Runner List'!$B$3:$O$505,5,FALSE),0)</f>
        <v>0</v>
      </c>
      <c r="D130" s="8">
        <f>IFERROR(VLOOKUP(B130,'Runner List'!$B$3:$O$505,6,FALSE),0)</f>
        <v>0</v>
      </c>
      <c r="E130" s="8">
        <f>IFERROR(VLOOKUP(B130,'Runner List'!$B$3:$O$505,7,FALSE),0)</f>
        <v>0</v>
      </c>
      <c r="F130" s="8">
        <f>IFERROR(VLOOKUP(B130,'Runner List'!$B$3:$O$505,8,FALSE),0)</f>
        <v>0</v>
      </c>
      <c r="G130" s="8">
        <f>IFERROR(VLOOKUP(B130,'Runner List'!$B$3:$O$505,9,FALSE),0)</f>
        <v>0</v>
      </c>
      <c r="H130" s="8">
        <f>IFERROR(VLOOKUP(B130,'Runner List'!$B$3:$O$505,10,FALSE),0)</f>
        <v>0</v>
      </c>
      <c r="I130" s="109">
        <f>IFERROR(VLOOKUP(B130,'Runner List'!$B$3:$O$505,12,FALSE),0)</f>
        <v>0</v>
      </c>
    </row>
    <row r="131" spans="1:9" ht="36" customHeight="1">
      <c r="A131" s="8">
        <v>128</v>
      </c>
      <c r="B131" s="49"/>
      <c r="C131" s="10">
        <f>IFERROR(VLOOKUP(B131,'Runner List'!$B$3:$O$505,5,FALSE),0)</f>
        <v>0</v>
      </c>
      <c r="D131" s="8">
        <f>IFERROR(VLOOKUP(B131,'Runner List'!$B$3:$O$505,6,FALSE),0)</f>
        <v>0</v>
      </c>
      <c r="E131" s="8">
        <f>IFERROR(VLOOKUP(B131,'Runner List'!$B$3:$O$505,7,FALSE),0)</f>
        <v>0</v>
      </c>
      <c r="F131" s="8">
        <f>IFERROR(VLOOKUP(B131,'Runner List'!$B$3:$O$505,8,FALSE),0)</f>
        <v>0</v>
      </c>
      <c r="G131" s="8">
        <f>IFERROR(VLOOKUP(B131,'Runner List'!$B$3:$O$505,9,FALSE),0)</f>
        <v>0</v>
      </c>
      <c r="H131" s="8">
        <f>IFERROR(VLOOKUP(B131,'Runner List'!$B$3:$O$505,10,FALSE),0)</f>
        <v>0</v>
      </c>
      <c r="I131" s="109">
        <f>IFERROR(VLOOKUP(B131,'Runner List'!$B$3:$O$505,12,FALSE),0)</f>
        <v>0</v>
      </c>
    </row>
    <row r="132" spans="1:9" ht="36" customHeight="1">
      <c r="A132" s="8">
        <v>129</v>
      </c>
      <c r="B132" s="49"/>
      <c r="C132" s="10">
        <f>IFERROR(VLOOKUP(B132,'Runner List'!$B$3:$O$505,5,FALSE),0)</f>
        <v>0</v>
      </c>
      <c r="D132" s="8">
        <f>IFERROR(VLOOKUP(B132,'Runner List'!$B$3:$O$505,6,FALSE),0)</f>
        <v>0</v>
      </c>
      <c r="E132" s="8">
        <f>IFERROR(VLOOKUP(B132,'Runner List'!$B$3:$O$505,7,FALSE),0)</f>
        <v>0</v>
      </c>
      <c r="F132" s="8">
        <f>IFERROR(VLOOKUP(B132,'Runner List'!$B$3:$O$505,8,FALSE),0)</f>
        <v>0</v>
      </c>
      <c r="G132" s="8">
        <f>IFERROR(VLOOKUP(B132,'Runner List'!$B$3:$O$505,9,FALSE),0)</f>
        <v>0</v>
      </c>
      <c r="H132" s="8">
        <f>IFERROR(VLOOKUP(B132,'Runner List'!$B$3:$O$505,10,FALSE),0)</f>
        <v>0</v>
      </c>
      <c r="I132" s="109">
        <f>IFERROR(VLOOKUP(B132,'Runner List'!$B$3:$O$505,12,FALSE),0)</f>
        <v>0</v>
      </c>
    </row>
    <row r="133" spans="1:9" ht="36" customHeight="1">
      <c r="A133" s="8">
        <v>130</v>
      </c>
      <c r="B133" s="49"/>
      <c r="C133" s="10">
        <f>IFERROR(VLOOKUP(B133,'Runner List'!$B$3:$O$505,5,FALSE),0)</f>
        <v>0</v>
      </c>
      <c r="D133" s="8">
        <f>IFERROR(VLOOKUP(B133,'Runner List'!$B$3:$O$505,6,FALSE),0)</f>
        <v>0</v>
      </c>
      <c r="E133" s="8">
        <f>IFERROR(VLOOKUP(B133,'Runner List'!$B$3:$O$505,7,FALSE),0)</f>
        <v>0</v>
      </c>
      <c r="F133" s="8">
        <f>IFERROR(VLOOKUP(B133,'Runner List'!$B$3:$O$505,8,FALSE),0)</f>
        <v>0</v>
      </c>
      <c r="G133" s="8">
        <f>IFERROR(VLOOKUP(B133,'Runner List'!$B$3:$O$505,9,FALSE),0)</f>
        <v>0</v>
      </c>
      <c r="H133" s="8">
        <f>IFERROR(VLOOKUP(B133,'Runner List'!$B$3:$O$505,10,FALSE),0)</f>
        <v>0</v>
      </c>
      <c r="I133" s="109">
        <f>IFERROR(VLOOKUP(B133,'Runner List'!$B$3:$O$505,12,FALSE),0)</f>
        <v>0</v>
      </c>
    </row>
    <row r="134" spans="1:9" ht="36" customHeight="1">
      <c r="A134" s="8">
        <v>131</v>
      </c>
      <c r="B134" s="49"/>
      <c r="C134" s="10">
        <f>IFERROR(VLOOKUP(B134,'Runner List'!$B$3:$O$505,5,FALSE),0)</f>
        <v>0</v>
      </c>
      <c r="D134" s="8">
        <f>IFERROR(VLOOKUP(B134,'Runner List'!$B$3:$O$505,6,FALSE),0)</f>
        <v>0</v>
      </c>
      <c r="E134" s="8">
        <f>IFERROR(VLOOKUP(B134,'Runner List'!$B$3:$O$505,7,FALSE),0)</f>
        <v>0</v>
      </c>
      <c r="F134" s="8">
        <f>IFERROR(VLOOKUP(B134,'Runner List'!$B$3:$O$505,8,FALSE),0)</f>
        <v>0</v>
      </c>
      <c r="G134" s="8">
        <f>IFERROR(VLOOKUP(B134,'Runner List'!$B$3:$O$505,9,FALSE),0)</f>
        <v>0</v>
      </c>
      <c r="H134" s="8">
        <f>IFERROR(VLOOKUP(B134,'Runner List'!$B$3:$O$505,10,FALSE),0)</f>
        <v>0</v>
      </c>
      <c r="I134" s="109">
        <f>IFERROR(VLOOKUP(B134,'Runner List'!$B$3:$O$505,12,FALSE),0)</f>
        <v>0</v>
      </c>
    </row>
    <row r="135" spans="1:9" ht="36" customHeight="1">
      <c r="A135" s="8">
        <v>132</v>
      </c>
      <c r="B135" s="49"/>
      <c r="C135" s="10">
        <f>IFERROR(VLOOKUP(B135,'Runner List'!$B$3:$O$505,5,FALSE),0)</f>
        <v>0</v>
      </c>
      <c r="D135" s="8">
        <f>IFERROR(VLOOKUP(B135,'Runner List'!$B$3:$O$505,6,FALSE),0)</f>
        <v>0</v>
      </c>
      <c r="E135" s="8">
        <f>IFERROR(VLOOKUP(B135,'Runner List'!$B$3:$O$505,7,FALSE),0)</f>
        <v>0</v>
      </c>
      <c r="F135" s="8">
        <f>IFERROR(VLOOKUP(B135,'Runner List'!$B$3:$O$505,8,FALSE),0)</f>
        <v>0</v>
      </c>
      <c r="G135" s="8">
        <f>IFERROR(VLOOKUP(B135,'Runner List'!$B$3:$O$505,9,FALSE),0)</f>
        <v>0</v>
      </c>
      <c r="H135" s="8">
        <f>IFERROR(VLOOKUP(B135,'Runner List'!$B$3:$O$505,10,FALSE),0)</f>
        <v>0</v>
      </c>
      <c r="I135" s="109">
        <f>IFERROR(VLOOKUP(B135,'Runner List'!$B$3:$O$505,12,FALSE),0)</f>
        <v>0</v>
      </c>
    </row>
    <row r="136" spans="1:9" ht="36" customHeight="1">
      <c r="A136" s="8">
        <v>133</v>
      </c>
      <c r="B136" s="49"/>
      <c r="C136" s="10">
        <f>IFERROR(VLOOKUP(B136,'Runner List'!$B$3:$O$505,5,FALSE),0)</f>
        <v>0</v>
      </c>
      <c r="D136" s="8">
        <f>IFERROR(VLOOKUP(B136,'Runner List'!$B$3:$O$505,6,FALSE),0)</f>
        <v>0</v>
      </c>
      <c r="E136" s="8">
        <f>IFERROR(VLOOKUP(B136,'Runner List'!$B$3:$O$505,7,FALSE),0)</f>
        <v>0</v>
      </c>
      <c r="F136" s="8">
        <f>IFERROR(VLOOKUP(B136,'Runner List'!$B$3:$O$505,8,FALSE),0)</f>
        <v>0</v>
      </c>
      <c r="G136" s="8">
        <f>IFERROR(VLOOKUP(B136,'Runner List'!$B$3:$O$505,9,FALSE),0)</f>
        <v>0</v>
      </c>
      <c r="H136" s="8">
        <f>IFERROR(VLOOKUP(B136,'Runner List'!$B$3:$O$505,10,FALSE),0)</f>
        <v>0</v>
      </c>
      <c r="I136" s="109">
        <f>IFERROR(VLOOKUP(B136,'Runner List'!$B$3:$O$505,12,FALSE),0)</f>
        <v>0</v>
      </c>
    </row>
    <row r="137" spans="1:9" ht="36" customHeight="1">
      <c r="A137" s="8">
        <v>134</v>
      </c>
      <c r="B137" s="49"/>
      <c r="C137" s="10">
        <f>IFERROR(VLOOKUP(B137,'Runner List'!$B$3:$O$505,5,FALSE),0)</f>
        <v>0</v>
      </c>
      <c r="D137" s="8">
        <f>IFERROR(VLOOKUP(B137,'Runner List'!$B$3:$O$505,6,FALSE),0)</f>
        <v>0</v>
      </c>
      <c r="E137" s="8">
        <f>IFERROR(VLOOKUP(B137,'Runner List'!$B$3:$O$505,7,FALSE),0)</f>
        <v>0</v>
      </c>
      <c r="F137" s="8">
        <f>IFERROR(VLOOKUP(B137,'Runner List'!$B$3:$O$505,8,FALSE),0)</f>
        <v>0</v>
      </c>
      <c r="G137" s="8">
        <f>IFERROR(VLOOKUP(B137,'Runner List'!$B$3:$O$505,9,FALSE),0)</f>
        <v>0</v>
      </c>
      <c r="H137" s="8">
        <f>IFERROR(VLOOKUP(B137,'Runner List'!$B$3:$O$505,10,FALSE),0)</f>
        <v>0</v>
      </c>
      <c r="I137" s="109">
        <f>IFERROR(VLOOKUP(B137,'Runner List'!$B$3:$O$505,12,FALSE),0)</f>
        <v>0</v>
      </c>
    </row>
    <row r="138" spans="1:9" ht="36" customHeight="1">
      <c r="A138" s="8">
        <v>135</v>
      </c>
      <c r="B138" s="49"/>
      <c r="C138" s="10">
        <f>IFERROR(VLOOKUP(B138,'Runner List'!$B$3:$O$505,5,FALSE),0)</f>
        <v>0</v>
      </c>
      <c r="D138" s="8">
        <f>IFERROR(VLOOKUP(B138,'Runner List'!$B$3:$O$505,6,FALSE),0)</f>
        <v>0</v>
      </c>
      <c r="E138" s="8">
        <f>IFERROR(VLOOKUP(B138,'Runner List'!$B$3:$O$505,7,FALSE),0)</f>
        <v>0</v>
      </c>
      <c r="F138" s="8">
        <f>IFERROR(VLOOKUP(B138,'Runner List'!$B$3:$O$505,8,FALSE),0)</f>
        <v>0</v>
      </c>
      <c r="G138" s="8">
        <f>IFERROR(VLOOKUP(B138,'Runner List'!$B$3:$O$505,9,FALSE),0)</f>
        <v>0</v>
      </c>
      <c r="H138" s="8">
        <f>IFERROR(VLOOKUP(B138,'Runner List'!$B$3:$O$505,10,FALSE),0)</f>
        <v>0</v>
      </c>
      <c r="I138" s="109">
        <f>IFERROR(VLOOKUP(B138,'Runner List'!$B$3:$O$505,12,FALSE),0)</f>
        <v>0</v>
      </c>
    </row>
    <row r="139" spans="1:9" ht="36" customHeight="1">
      <c r="A139" s="8">
        <v>136</v>
      </c>
      <c r="B139" s="49"/>
      <c r="C139" s="10">
        <f>IFERROR(VLOOKUP(B139,'Runner List'!$B$3:$O$505,5,FALSE),0)</f>
        <v>0</v>
      </c>
      <c r="D139" s="8">
        <f>IFERROR(VLOOKUP(B139,'Runner List'!$B$3:$O$505,6,FALSE),0)</f>
        <v>0</v>
      </c>
      <c r="E139" s="8">
        <f>IFERROR(VLOOKUP(B139,'Runner List'!$B$3:$O$505,7,FALSE),0)</f>
        <v>0</v>
      </c>
      <c r="F139" s="8">
        <f>IFERROR(VLOOKUP(B139,'Runner List'!$B$3:$O$505,8,FALSE),0)</f>
        <v>0</v>
      </c>
      <c r="G139" s="8">
        <f>IFERROR(VLOOKUP(B139,'Runner List'!$B$3:$O$505,9,FALSE),0)</f>
        <v>0</v>
      </c>
      <c r="H139" s="8">
        <f>IFERROR(VLOOKUP(B139,'Runner List'!$B$3:$O$505,10,FALSE),0)</f>
        <v>0</v>
      </c>
      <c r="I139" s="109">
        <f>IFERROR(VLOOKUP(B139,'Runner List'!$B$3:$O$505,12,FALSE),0)</f>
        <v>0</v>
      </c>
    </row>
    <row r="140" spans="1:9" ht="36" customHeight="1">
      <c r="A140" s="8">
        <v>137</v>
      </c>
      <c r="B140" s="49"/>
      <c r="C140" s="10">
        <f>IFERROR(VLOOKUP(B140,'Runner List'!$B$3:$O$505,5,FALSE),0)</f>
        <v>0</v>
      </c>
      <c r="D140" s="8">
        <f>IFERROR(VLOOKUP(B140,'Runner List'!$B$3:$O$505,6,FALSE),0)</f>
        <v>0</v>
      </c>
      <c r="E140" s="8">
        <f>IFERROR(VLOOKUP(B140,'Runner List'!$B$3:$O$505,7,FALSE),0)</f>
        <v>0</v>
      </c>
      <c r="F140" s="8">
        <f>IFERROR(VLOOKUP(B140,'Runner List'!$B$3:$O$505,8,FALSE),0)</f>
        <v>0</v>
      </c>
      <c r="G140" s="8">
        <f>IFERROR(VLOOKUP(B140,'Runner List'!$B$3:$O$505,9,FALSE),0)</f>
        <v>0</v>
      </c>
      <c r="H140" s="8">
        <f>IFERROR(VLOOKUP(B140,'Runner List'!$B$3:$O$505,10,FALSE),0)</f>
        <v>0</v>
      </c>
      <c r="I140" s="109">
        <f>IFERROR(VLOOKUP(B140,'Runner List'!$B$3:$O$505,12,FALSE),0)</f>
        <v>0</v>
      </c>
    </row>
    <row r="141" spans="1:9" ht="36" customHeight="1">
      <c r="A141" s="8">
        <v>138</v>
      </c>
      <c r="B141" s="49"/>
      <c r="C141" s="10">
        <f>IFERROR(VLOOKUP(B141,'Runner List'!$B$3:$O$505,5,FALSE),0)</f>
        <v>0</v>
      </c>
      <c r="D141" s="8">
        <f>IFERROR(VLOOKUP(B141,'Runner List'!$B$3:$O$505,6,FALSE),0)</f>
        <v>0</v>
      </c>
      <c r="E141" s="8">
        <f>IFERROR(VLOOKUP(B141,'Runner List'!$B$3:$O$505,7,FALSE),0)</f>
        <v>0</v>
      </c>
      <c r="F141" s="8">
        <f>IFERROR(VLOOKUP(B141,'Runner List'!$B$3:$O$505,8,FALSE),0)</f>
        <v>0</v>
      </c>
      <c r="G141" s="8">
        <f>IFERROR(VLOOKUP(B141,'Runner List'!$B$3:$O$505,9,FALSE),0)</f>
        <v>0</v>
      </c>
      <c r="H141" s="8">
        <f>IFERROR(VLOOKUP(B141,'Runner List'!$B$3:$O$505,10,FALSE),0)</f>
        <v>0</v>
      </c>
      <c r="I141" s="109">
        <f>IFERROR(VLOOKUP(B141,'Runner List'!$B$3:$O$505,12,FALSE),0)</f>
        <v>0</v>
      </c>
    </row>
    <row r="142" spans="1:9" ht="36" customHeight="1">
      <c r="A142" s="8">
        <v>139</v>
      </c>
      <c r="B142" s="49"/>
      <c r="C142" s="10">
        <f>IFERROR(VLOOKUP(B142,'Runner List'!$B$3:$O$505,5,FALSE),0)</f>
        <v>0</v>
      </c>
      <c r="D142" s="8">
        <f>IFERROR(VLOOKUP(B142,'Runner List'!$B$3:$O$505,6,FALSE),0)</f>
        <v>0</v>
      </c>
      <c r="E142" s="8">
        <f>IFERROR(VLOOKUP(B142,'Runner List'!$B$3:$O$505,7,FALSE),0)</f>
        <v>0</v>
      </c>
      <c r="F142" s="8">
        <f>IFERROR(VLOOKUP(B142,'Runner List'!$B$3:$O$505,8,FALSE),0)</f>
        <v>0</v>
      </c>
      <c r="G142" s="8">
        <f>IFERROR(VLOOKUP(B142,'Runner List'!$B$3:$O$505,9,FALSE),0)</f>
        <v>0</v>
      </c>
      <c r="H142" s="8">
        <f>IFERROR(VLOOKUP(B142,'Runner List'!$B$3:$O$505,10,FALSE),0)</f>
        <v>0</v>
      </c>
      <c r="I142" s="109">
        <f>IFERROR(VLOOKUP(B142,'Runner List'!$B$3:$O$505,12,FALSE),0)</f>
        <v>0</v>
      </c>
    </row>
    <row r="143" spans="1:9" ht="36" customHeight="1">
      <c r="A143" s="8">
        <v>140</v>
      </c>
      <c r="B143" s="49"/>
      <c r="C143" s="10">
        <f>IFERROR(VLOOKUP(B143,'Runner List'!$B$3:$O$505,5,FALSE),0)</f>
        <v>0</v>
      </c>
      <c r="D143" s="8">
        <f>IFERROR(VLOOKUP(B143,'Runner List'!$B$3:$O$505,6,FALSE),0)</f>
        <v>0</v>
      </c>
      <c r="E143" s="8">
        <f>IFERROR(VLOOKUP(B143,'Runner List'!$B$3:$O$505,7,FALSE),0)</f>
        <v>0</v>
      </c>
      <c r="F143" s="8">
        <f>IFERROR(VLOOKUP(B143,'Runner List'!$B$3:$O$505,8,FALSE),0)</f>
        <v>0</v>
      </c>
      <c r="G143" s="8">
        <f>IFERROR(VLOOKUP(B143,'Runner List'!$B$3:$O$505,9,FALSE),0)</f>
        <v>0</v>
      </c>
      <c r="H143" s="8">
        <f>IFERROR(VLOOKUP(B143,'Runner List'!$B$3:$O$505,10,FALSE),0)</f>
        <v>0</v>
      </c>
      <c r="I143" s="109">
        <f>IFERROR(VLOOKUP(B143,'Runner List'!$B$3:$O$505,12,FALSE),0)</f>
        <v>0</v>
      </c>
    </row>
    <row r="144" spans="1:9" ht="36" customHeight="1">
      <c r="A144" s="8">
        <v>141</v>
      </c>
      <c r="B144" s="49"/>
      <c r="C144" s="10">
        <f>IFERROR(VLOOKUP(B144,'Runner List'!$B$3:$O$505,5,FALSE),0)</f>
        <v>0</v>
      </c>
      <c r="D144" s="8">
        <f>IFERROR(VLOOKUP(B144,'Runner List'!$B$3:$O$505,6,FALSE),0)</f>
        <v>0</v>
      </c>
      <c r="E144" s="8">
        <f>IFERROR(VLOOKUP(B144,'Runner List'!$B$3:$O$505,7,FALSE),0)</f>
        <v>0</v>
      </c>
      <c r="F144" s="8">
        <f>IFERROR(VLOOKUP(B144,'Runner List'!$B$3:$O$505,8,FALSE),0)</f>
        <v>0</v>
      </c>
      <c r="G144" s="8">
        <f>IFERROR(VLOOKUP(B144,'Runner List'!$B$3:$O$505,9,FALSE),0)</f>
        <v>0</v>
      </c>
      <c r="H144" s="8">
        <f>IFERROR(VLOOKUP(B144,'Runner List'!$B$3:$O$505,10,FALSE),0)</f>
        <v>0</v>
      </c>
      <c r="I144" s="109">
        <f>IFERROR(VLOOKUP(B144,'Runner List'!$B$3:$O$505,12,FALSE),0)</f>
        <v>0</v>
      </c>
    </row>
    <row r="145" spans="1:9" ht="36" customHeight="1">
      <c r="A145" s="8">
        <v>142</v>
      </c>
      <c r="B145" s="49"/>
      <c r="C145" s="10">
        <f>IFERROR(VLOOKUP(B145,'Runner List'!$B$3:$O$505,5,FALSE),0)</f>
        <v>0</v>
      </c>
      <c r="D145" s="8">
        <f>IFERROR(VLOOKUP(B145,'Runner List'!$B$3:$O$505,6,FALSE),0)</f>
        <v>0</v>
      </c>
      <c r="E145" s="8">
        <f>IFERROR(VLOOKUP(B145,'Runner List'!$B$3:$O$505,7,FALSE),0)</f>
        <v>0</v>
      </c>
      <c r="F145" s="8">
        <f>IFERROR(VLOOKUP(B145,'Runner List'!$B$3:$O$505,8,FALSE),0)</f>
        <v>0</v>
      </c>
      <c r="G145" s="8">
        <f>IFERROR(VLOOKUP(B145,'Runner List'!$B$3:$O$505,9,FALSE),0)</f>
        <v>0</v>
      </c>
      <c r="H145" s="8">
        <f>IFERROR(VLOOKUP(B145,'Runner List'!$B$3:$O$505,10,FALSE),0)</f>
        <v>0</v>
      </c>
      <c r="I145" s="109">
        <f>IFERROR(VLOOKUP(B145,'Runner List'!$B$3:$O$505,12,FALSE),0)</f>
        <v>0</v>
      </c>
    </row>
    <row r="146" spans="1:9" ht="36" customHeight="1">
      <c r="A146" s="8">
        <v>143</v>
      </c>
      <c r="B146" s="49"/>
      <c r="C146" s="10">
        <f>IFERROR(VLOOKUP(B146,'Runner List'!$B$3:$O$505,5,FALSE),0)</f>
        <v>0</v>
      </c>
      <c r="D146" s="8">
        <f>IFERROR(VLOOKUP(B146,'Runner List'!$B$3:$O$505,6,FALSE),0)</f>
        <v>0</v>
      </c>
      <c r="E146" s="8">
        <f>IFERROR(VLOOKUP(B146,'Runner List'!$B$3:$O$505,7,FALSE),0)</f>
        <v>0</v>
      </c>
      <c r="F146" s="8">
        <f>IFERROR(VLOOKUP(B146,'Runner List'!$B$3:$O$505,8,FALSE),0)</f>
        <v>0</v>
      </c>
      <c r="G146" s="8">
        <f>IFERROR(VLOOKUP(B146,'Runner List'!$B$3:$O$505,9,FALSE),0)</f>
        <v>0</v>
      </c>
      <c r="H146" s="8">
        <f>IFERROR(VLOOKUP(B146,'Runner List'!$B$3:$O$505,10,FALSE),0)</f>
        <v>0</v>
      </c>
      <c r="I146" s="109">
        <f>IFERROR(VLOOKUP(B146,'Runner List'!$B$3:$O$505,12,FALSE),0)</f>
        <v>0</v>
      </c>
    </row>
    <row r="147" spans="1:9" ht="36" customHeight="1">
      <c r="A147" s="8">
        <v>144</v>
      </c>
      <c r="B147" s="49"/>
      <c r="C147" s="10">
        <f>IFERROR(VLOOKUP(B147,'Runner List'!$B$3:$O$505,5,FALSE),0)</f>
        <v>0</v>
      </c>
      <c r="D147" s="8">
        <f>IFERROR(VLOOKUP(B147,'Runner List'!$B$3:$O$505,6,FALSE),0)</f>
        <v>0</v>
      </c>
      <c r="E147" s="8">
        <f>IFERROR(VLOOKUP(B147,'Runner List'!$B$3:$O$505,7,FALSE),0)</f>
        <v>0</v>
      </c>
      <c r="F147" s="8">
        <f>IFERROR(VLOOKUP(B147,'Runner List'!$B$3:$O$505,8,FALSE),0)</f>
        <v>0</v>
      </c>
      <c r="G147" s="8">
        <f>IFERROR(VLOOKUP(B147,'Runner List'!$B$3:$O$505,9,FALSE),0)</f>
        <v>0</v>
      </c>
      <c r="H147" s="8">
        <f>IFERROR(VLOOKUP(B147,'Runner List'!$B$3:$O$505,10,FALSE),0)</f>
        <v>0</v>
      </c>
      <c r="I147" s="109">
        <f>IFERROR(VLOOKUP(B147,'Runner List'!$B$3:$O$505,12,FALSE),0)</f>
        <v>0</v>
      </c>
    </row>
    <row r="148" spans="1:9" ht="36" customHeight="1">
      <c r="A148" s="8">
        <v>145</v>
      </c>
      <c r="B148" s="49"/>
      <c r="C148" s="10">
        <f>IFERROR(VLOOKUP(B148,'Runner List'!$B$3:$O$505,5,FALSE),0)</f>
        <v>0</v>
      </c>
      <c r="D148" s="8">
        <f>IFERROR(VLOOKUP(B148,'Runner List'!$B$3:$O$505,6,FALSE),0)</f>
        <v>0</v>
      </c>
      <c r="E148" s="8">
        <f>IFERROR(VLOOKUP(B148,'Runner List'!$B$3:$O$505,7,FALSE),0)</f>
        <v>0</v>
      </c>
      <c r="F148" s="8">
        <f>IFERROR(VLOOKUP(B148,'Runner List'!$B$3:$O$505,8,FALSE),0)</f>
        <v>0</v>
      </c>
      <c r="G148" s="8">
        <f>IFERROR(VLOOKUP(B148,'Runner List'!$B$3:$O$505,9,FALSE),0)</f>
        <v>0</v>
      </c>
      <c r="H148" s="8">
        <f>IFERROR(VLOOKUP(B148,'Runner List'!$B$3:$O$505,10,FALSE),0)</f>
        <v>0</v>
      </c>
      <c r="I148" s="109">
        <f>IFERROR(VLOOKUP(B148,'Runner List'!$B$3:$O$505,12,FALSE),0)</f>
        <v>0</v>
      </c>
    </row>
    <row r="149" spans="1:9" ht="36" customHeight="1">
      <c r="A149" s="8">
        <v>146</v>
      </c>
      <c r="B149" s="49"/>
      <c r="C149" s="10">
        <f>IFERROR(VLOOKUP(B149,'Runner List'!$B$3:$O$505,5,FALSE),0)</f>
        <v>0</v>
      </c>
      <c r="D149" s="8">
        <f>IFERROR(VLOOKUP(B149,'Runner List'!$B$3:$O$505,6,FALSE),0)</f>
        <v>0</v>
      </c>
      <c r="E149" s="8">
        <f>IFERROR(VLOOKUP(B149,'Runner List'!$B$3:$O$505,7,FALSE),0)</f>
        <v>0</v>
      </c>
      <c r="F149" s="8">
        <f>IFERROR(VLOOKUP(B149,'Runner List'!$B$3:$O$505,8,FALSE),0)</f>
        <v>0</v>
      </c>
      <c r="G149" s="8">
        <f>IFERROR(VLOOKUP(B149,'Runner List'!$B$3:$O$505,9,FALSE),0)</f>
        <v>0</v>
      </c>
      <c r="H149" s="8">
        <f>IFERROR(VLOOKUP(B149,'Runner List'!$B$3:$O$505,10,FALSE),0)</f>
        <v>0</v>
      </c>
      <c r="I149" s="109">
        <f>IFERROR(VLOOKUP(B149,'Runner List'!$B$3:$O$505,12,FALSE),0)</f>
        <v>0</v>
      </c>
    </row>
    <row r="150" spans="1:9" ht="36" customHeight="1">
      <c r="A150" s="8">
        <v>147</v>
      </c>
      <c r="B150" s="49"/>
      <c r="C150" s="10">
        <f>IFERROR(VLOOKUP(B150,'Runner List'!$B$3:$O$505,5,FALSE),0)</f>
        <v>0</v>
      </c>
      <c r="D150" s="8">
        <f>IFERROR(VLOOKUP(B150,'Runner List'!$B$3:$O$505,6,FALSE),0)</f>
        <v>0</v>
      </c>
      <c r="E150" s="8">
        <f>IFERROR(VLOOKUP(B150,'Runner List'!$B$3:$O$505,7,FALSE),0)</f>
        <v>0</v>
      </c>
      <c r="F150" s="8">
        <f>IFERROR(VLOOKUP(B150,'Runner List'!$B$3:$O$505,8,FALSE),0)</f>
        <v>0</v>
      </c>
      <c r="G150" s="8">
        <f>IFERROR(VLOOKUP(B150,'Runner List'!$B$3:$O$505,9,FALSE),0)</f>
        <v>0</v>
      </c>
      <c r="H150" s="8">
        <f>IFERROR(VLOOKUP(B150,'Runner List'!$B$3:$O$505,10,FALSE),0)</f>
        <v>0</v>
      </c>
      <c r="I150" s="109">
        <f>IFERROR(VLOOKUP(B150,'Runner List'!$B$3:$O$505,12,FALSE),0)</f>
        <v>0</v>
      </c>
    </row>
    <row r="151" spans="1:9" ht="36" customHeight="1">
      <c r="A151" s="8">
        <v>148</v>
      </c>
      <c r="B151" s="49"/>
      <c r="C151" s="10">
        <f>IFERROR(VLOOKUP(B151,'Runner List'!$B$3:$O$505,5,FALSE),0)</f>
        <v>0</v>
      </c>
      <c r="D151" s="8">
        <f>IFERROR(VLOOKUP(B151,'Runner List'!$B$3:$O$505,6,FALSE),0)</f>
        <v>0</v>
      </c>
      <c r="E151" s="8">
        <f>IFERROR(VLOOKUP(B151,'Runner List'!$B$3:$O$505,7,FALSE),0)</f>
        <v>0</v>
      </c>
      <c r="F151" s="8">
        <f>IFERROR(VLOOKUP(B151,'Runner List'!$B$3:$O$505,8,FALSE),0)</f>
        <v>0</v>
      </c>
      <c r="G151" s="8">
        <f>IFERROR(VLOOKUP(B151,'Runner List'!$B$3:$O$505,9,FALSE),0)</f>
        <v>0</v>
      </c>
      <c r="H151" s="8">
        <f>IFERROR(VLOOKUP(B151,'Runner List'!$B$3:$O$505,10,FALSE),0)</f>
        <v>0</v>
      </c>
      <c r="I151" s="109">
        <f>IFERROR(VLOOKUP(B151,'Runner List'!$B$3:$O$505,12,FALSE),0)</f>
        <v>0</v>
      </c>
    </row>
    <row r="152" spans="1:9" ht="36" customHeight="1">
      <c r="A152" s="8">
        <v>149</v>
      </c>
      <c r="B152" s="49"/>
      <c r="C152" s="10">
        <f>IFERROR(VLOOKUP(B152,'Runner List'!$B$3:$O$505,5,FALSE),0)</f>
        <v>0</v>
      </c>
      <c r="D152" s="8">
        <f>IFERROR(VLOOKUP(B152,'Runner List'!$B$3:$O$505,6,FALSE),0)</f>
        <v>0</v>
      </c>
      <c r="E152" s="8">
        <f>IFERROR(VLOOKUP(B152,'Runner List'!$B$3:$O$505,7,FALSE),0)</f>
        <v>0</v>
      </c>
      <c r="F152" s="8">
        <f>IFERROR(VLOOKUP(B152,'Runner List'!$B$3:$O$505,8,FALSE),0)</f>
        <v>0</v>
      </c>
      <c r="G152" s="8">
        <f>IFERROR(VLOOKUP(B152,'Runner List'!$B$3:$O$505,9,FALSE),0)</f>
        <v>0</v>
      </c>
      <c r="H152" s="8">
        <f>IFERROR(VLOOKUP(B152,'Runner List'!$B$3:$O$505,10,FALSE),0)</f>
        <v>0</v>
      </c>
      <c r="I152" s="109">
        <f>IFERROR(VLOOKUP(B152,'Runner List'!$B$3:$O$505,12,FALSE),0)</f>
        <v>0</v>
      </c>
    </row>
    <row r="153" spans="1:9" ht="36" customHeight="1">
      <c r="A153" s="8">
        <v>150</v>
      </c>
      <c r="B153" s="49"/>
      <c r="C153" s="10">
        <f>IFERROR(VLOOKUP(B153,'Runner List'!$B$3:$O$505,5,FALSE),0)</f>
        <v>0</v>
      </c>
      <c r="D153" s="8">
        <f>IFERROR(VLOOKUP(B153,'Runner List'!$B$3:$O$505,6,FALSE),0)</f>
        <v>0</v>
      </c>
      <c r="E153" s="8">
        <f>IFERROR(VLOOKUP(B153,'Runner List'!$B$3:$O$505,7,FALSE),0)</f>
        <v>0</v>
      </c>
      <c r="F153" s="8">
        <f>IFERROR(VLOOKUP(B153,'Runner List'!$B$3:$O$505,8,FALSE),0)</f>
        <v>0</v>
      </c>
      <c r="G153" s="8">
        <f>IFERROR(VLOOKUP(B153,'Runner List'!$B$3:$O$505,9,FALSE),0)</f>
        <v>0</v>
      </c>
      <c r="H153" s="8">
        <f>IFERROR(VLOOKUP(B153,'Runner List'!$B$3:$O$505,10,FALSE),0)</f>
        <v>0</v>
      </c>
      <c r="I153" s="109">
        <f>IFERROR(VLOOKUP(B153,'Runner List'!$B$3:$O$505,12,FALSE),0)</f>
        <v>0</v>
      </c>
    </row>
    <row r="154" spans="1:9" ht="36" customHeight="1">
      <c r="A154" s="8">
        <v>151</v>
      </c>
      <c r="B154" s="49"/>
      <c r="C154" s="10">
        <f>IFERROR(VLOOKUP(B154,'Runner List'!$B$3:$O$505,5,FALSE),0)</f>
        <v>0</v>
      </c>
      <c r="D154" s="8">
        <f>IFERROR(VLOOKUP(B154,'Runner List'!$B$3:$O$505,6,FALSE),0)</f>
        <v>0</v>
      </c>
      <c r="E154" s="8">
        <f>IFERROR(VLOOKUP(B154,'Runner List'!$B$3:$O$505,7,FALSE),0)</f>
        <v>0</v>
      </c>
      <c r="F154" s="8">
        <f>IFERROR(VLOOKUP(B154,'Runner List'!$B$3:$O$505,8,FALSE),0)</f>
        <v>0</v>
      </c>
      <c r="G154" s="8">
        <f>IFERROR(VLOOKUP(B154,'Runner List'!$B$3:$O$505,9,FALSE),0)</f>
        <v>0</v>
      </c>
      <c r="H154" s="8">
        <f>IFERROR(VLOOKUP(B154,'Runner List'!$B$3:$O$505,10,FALSE),0)</f>
        <v>0</v>
      </c>
      <c r="I154" s="109">
        <f>IFERROR(VLOOKUP(B154,'Runner List'!$B$3:$O$505,12,FALSE),0)</f>
        <v>0</v>
      </c>
    </row>
    <row r="155" spans="1:9" ht="36" customHeight="1">
      <c r="A155" s="8">
        <v>152</v>
      </c>
      <c r="B155" s="49"/>
      <c r="C155" s="10">
        <f>IFERROR(VLOOKUP(B155,'Runner List'!$B$3:$O$505,5,FALSE),0)</f>
        <v>0</v>
      </c>
      <c r="D155" s="8">
        <f>IFERROR(VLOOKUP(B155,'Runner List'!$B$3:$O$505,6,FALSE),0)</f>
        <v>0</v>
      </c>
      <c r="E155" s="8">
        <f>IFERROR(VLOOKUP(B155,'Runner List'!$B$3:$O$505,7,FALSE),0)</f>
        <v>0</v>
      </c>
      <c r="F155" s="8">
        <f>IFERROR(VLOOKUP(B155,'Runner List'!$B$3:$O$505,8,FALSE),0)</f>
        <v>0</v>
      </c>
      <c r="G155" s="8">
        <f>IFERROR(VLOOKUP(B155,'Runner List'!$B$3:$O$505,9,FALSE),0)</f>
        <v>0</v>
      </c>
      <c r="H155" s="8">
        <f>IFERROR(VLOOKUP(B155,'Runner List'!$B$3:$O$505,10,FALSE),0)</f>
        <v>0</v>
      </c>
      <c r="I155" s="109">
        <f>IFERROR(VLOOKUP(B155,'Runner List'!$B$3:$O$505,12,FALSE),0)</f>
        <v>0</v>
      </c>
    </row>
    <row r="156" spans="1:9" ht="36" customHeight="1">
      <c r="A156" s="8">
        <v>153</v>
      </c>
      <c r="B156" s="49"/>
      <c r="C156" s="10">
        <f>IFERROR(VLOOKUP(B156,'Runner List'!$B$3:$O$505,5,FALSE),0)</f>
        <v>0</v>
      </c>
      <c r="D156" s="8">
        <f>IFERROR(VLOOKUP(B156,'Runner List'!$B$3:$O$505,6,FALSE),0)</f>
        <v>0</v>
      </c>
      <c r="E156" s="8">
        <f>IFERROR(VLOOKUP(B156,'Runner List'!$B$3:$O$505,7,FALSE),0)</f>
        <v>0</v>
      </c>
      <c r="F156" s="8">
        <f>IFERROR(VLOOKUP(B156,'Runner List'!$B$3:$O$505,8,FALSE),0)</f>
        <v>0</v>
      </c>
      <c r="G156" s="8">
        <f>IFERROR(VLOOKUP(B156,'Runner List'!$B$3:$O$505,9,FALSE),0)</f>
        <v>0</v>
      </c>
      <c r="H156" s="8">
        <f>IFERROR(VLOOKUP(B156,'Runner List'!$B$3:$O$505,10,FALSE),0)</f>
        <v>0</v>
      </c>
      <c r="I156" s="109">
        <f>IFERROR(VLOOKUP(B156,'Runner List'!$B$3:$O$505,12,FALSE),0)</f>
        <v>0</v>
      </c>
    </row>
    <row r="157" spans="1:9" ht="36" customHeight="1">
      <c r="A157" s="8">
        <v>154</v>
      </c>
      <c r="B157" s="49"/>
      <c r="C157" s="10">
        <f>IFERROR(VLOOKUP(B157,'Runner List'!$B$3:$O$505,5,FALSE),0)</f>
        <v>0</v>
      </c>
      <c r="D157" s="8">
        <f>IFERROR(VLOOKUP(B157,'Runner List'!$B$3:$O$505,6,FALSE),0)</f>
        <v>0</v>
      </c>
      <c r="E157" s="8">
        <f>IFERROR(VLOOKUP(B157,'Runner List'!$B$3:$O$505,7,FALSE),0)</f>
        <v>0</v>
      </c>
      <c r="F157" s="8">
        <f>IFERROR(VLOOKUP(B157,'Runner List'!$B$3:$O$505,8,FALSE),0)</f>
        <v>0</v>
      </c>
      <c r="G157" s="8">
        <f>IFERROR(VLOOKUP(B157,'Runner List'!$B$3:$O$505,9,FALSE),0)</f>
        <v>0</v>
      </c>
      <c r="H157" s="8">
        <f>IFERROR(VLOOKUP(B157,'Runner List'!$B$3:$O$505,10,FALSE),0)</f>
        <v>0</v>
      </c>
      <c r="I157" s="109">
        <f>IFERROR(VLOOKUP(B157,'Runner List'!$B$3:$O$505,12,FALSE),0)</f>
        <v>0</v>
      </c>
    </row>
    <row r="158" spans="1:9" ht="36" customHeight="1">
      <c r="A158" s="8">
        <v>155</v>
      </c>
      <c r="B158" s="49"/>
      <c r="C158" s="10">
        <f>IFERROR(VLOOKUP(B158,'Runner List'!$B$3:$O$505,5,FALSE),0)</f>
        <v>0</v>
      </c>
      <c r="D158" s="8">
        <f>IFERROR(VLOOKUP(B158,'Runner List'!$B$3:$O$505,6,FALSE),0)</f>
        <v>0</v>
      </c>
      <c r="E158" s="8">
        <f>IFERROR(VLOOKUP(B158,'Runner List'!$B$3:$O$505,7,FALSE),0)</f>
        <v>0</v>
      </c>
      <c r="F158" s="8">
        <f>IFERROR(VLOOKUP(B158,'Runner List'!$B$3:$O$505,8,FALSE),0)</f>
        <v>0</v>
      </c>
      <c r="G158" s="8">
        <f>IFERROR(VLOOKUP(B158,'Runner List'!$B$3:$O$505,9,FALSE),0)</f>
        <v>0</v>
      </c>
      <c r="H158" s="8">
        <f>IFERROR(VLOOKUP(B158,'Runner List'!$B$3:$O$505,10,FALSE),0)</f>
        <v>0</v>
      </c>
      <c r="I158" s="109">
        <f>IFERROR(VLOOKUP(B158,'Runner List'!$B$3:$O$505,12,FALSE),0)</f>
        <v>0</v>
      </c>
    </row>
    <row r="159" spans="1:9" ht="36" customHeight="1">
      <c r="A159" s="8">
        <v>156</v>
      </c>
      <c r="B159" s="49"/>
      <c r="C159" s="10">
        <f>IFERROR(VLOOKUP(B159,'Runner List'!$B$3:$O$505,5,FALSE),0)</f>
        <v>0</v>
      </c>
      <c r="D159" s="8">
        <f>IFERROR(VLOOKUP(B159,'Runner List'!$B$3:$O$505,6,FALSE),0)</f>
        <v>0</v>
      </c>
      <c r="E159" s="8">
        <f>IFERROR(VLOOKUP(B159,'Runner List'!$B$3:$O$505,7,FALSE),0)</f>
        <v>0</v>
      </c>
      <c r="F159" s="8">
        <f>IFERROR(VLOOKUP(B159,'Runner List'!$B$3:$O$505,8,FALSE),0)</f>
        <v>0</v>
      </c>
      <c r="G159" s="8">
        <f>IFERROR(VLOOKUP(B159,'Runner List'!$B$3:$O$505,9,FALSE),0)</f>
        <v>0</v>
      </c>
      <c r="H159" s="8">
        <f>IFERROR(VLOOKUP(B159,'Runner List'!$B$3:$O$505,10,FALSE),0)</f>
        <v>0</v>
      </c>
      <c r="I159" s="109">
        <f>IFERROR(VLOOKUP(B159,'Runner List'!$B$3:$O$505,12,FALSE),0)</f>
        <v>0</v>
      </c>
    </row>
    <row r="160" spans="1:9" ht="36" customHeight="1">
      <c r="A160" s="8">
        <v>157</v>
      </c>
      <c r="B160" s="49"/>
      <c r="C160" s="10">
        <f>IFERROR(VLOOKUP(B160,'Runner List'!$B$3:$O$505,5,FALSE),0)</f>
        <v>0</v>
      </c>
      <c r="D160" s="8">
        <f>IFERROR(VLOOKUP(B160,'Runner List'!$B$3:$O$505,6,FALSE),0)</f>
        <v>0</v>
      </c>
      <c r="E160" s="8">
        <f>IFERROR(VLOOKUP(B160,'Runner List'!$B$3:$O$505,7,FALSE),0)</f>
        <v>0</v>
      </c>
      <c r="F160" s="8">
        <f>IFERROR(VLOOKUP(B160,'Runner List'!$B$3:$O$505,8,FALSE),0)</f>
        <v>0</v>
      </c>
      <c r="G160" s="8">
        <f>IFERROR(VLOOKUP(B160,'Runner List'!$B$3:$O$505,9,FALSE),0)</f>
        <v>0</v>
      </c>
      <c r="H160" s="8">
        <f>IFERROR(VLOOKUP(B160,'Runner List'!$B$3:$O$505,10,FALSE),0)</f>
        <v>0</v>
      </c>
      <c r="I160" s="109">
        <f>IFERROR(VLOOKUP(B160,'Runner List'!$B$3:$O$505,12,FALSE),0)</f>
        <v>0</v>
      </c>
    </row>
    <row r="161" spans="1:9" ht="36" customHeight="1">
      <c r="A161" s="8">
        <v>158</v>
      </c>
      <c r="B161" s="49"/>
      <c r="C161" s="10">
        <f>IFERROR(VLOOKUP(B161,'Runner List'!$B$3:$O$505,5,FALSE),0)</f>
        <v>0</v>
      </c>
      <c r="D161" s="8">
        <f>IFERROR(VLOOKUP(B161,'Runner List'!$B$3:$O$505,6,FALSE),0)</f>
        <v>0</v>
      </c>
      <c r="E161" s="8">
        <f>IFERROR(VLOOKUP(B161,'Runner List'!$B$3:$O$505,7,FALSE),0)</f>
        <v>0</v>
      </c>
      <c r="F161" s="8">
        <f>IFERROR(VLOOKUP(B161,'Runner List'!$B$3:$O$505,8,FALSE),0)</f>
        <v>0</v>
      </c>
      <c r="G161" s="8">
        <f>IFERROR(VLOOKUP(B161,'Runner List'!$B$3:$O$505,9,FALSE),0)</f>
        <v>0</v>
      </c>
      <c r="H161" s="8">
        <f>IFERROR(VLOOKUP(B161,'Runner List'!$B$3:$O$505,10,FALSE),0)</f>
        <v>0</v>
      </c>
      <c r="I161" s="109">
        <f>IFERROR(VLOOKUP(B161,'Runner List'!$B$3:$O$505,12,FALSE),0)</f>
        <v>0</v>
      </c>
    </row>
    <row r="162" spans="1:9" ht="36" customHeight="1">
      <c r="A162" s="8">
        <v>159</v>
      </c>
      <c r="B162" s="49"/>
      <c r="C162" s="10">
        <f>IFERROR(VLOOKUP(B162,'Runner List'!$B$3:$O$505,5,FALSE),0)</f>
        <v>0</v>
      </c>
      <c r="D162" s="8">
        <f>IFERROR(VLOOKUP(B162,'Runner List'!$B$3:$O$505,6,FALSE),0)</f>
        <v>0</v>
      </c>
      <c r="E162" s="8">
        <f>IFERROR(VLOOKUP(B162,'Runner List'!$B$3:$O$505,7,FALSE),0)</f>
        <v>0</v>
      </c>
      <c r="F162" s="8">
        <f>IFERROR(VLOOKUP(B162,'Runner List'!$B$3:$O$505,8,FALSE),0)</f>
        <v>0</v>
      </c>
      <c r="G162" s="8">
        <f>IFERROR(VLOOKUP(B162,'Runner List'!$B$3:$O$505,9,FALSE),0)</f>
        <v>0</v>
      </c>
      <c r="H162" s="8">
        <f>IFERROR(VLOOKUP(B162,'Runner List'!$B$3:$O$505,10,FALSE),0)</f>
        <v>0</v>
      </c>
      <c r="I162" s="109">
        <f>IFERROR(VLOOKUP(B162,'Runner List'!$B$3:$O$505,12,FALSE),0)</f>
        <v>0</v>
      </c>
    </row>
    <row r="163" spans="1:9" ht="36" customHeight="1">
      <c r="A163" s="8">
        <v>160</v>
      </c>
      <c r="B163" s="49"/>
      <c r="C163" s="10">
        <f>IFERROR(VLOOKUP(B163,'Runner List'!$B$3:$O$505,5,FALSE),0)</f>
        <v>0</v>
      </c>
      <c r="D163" s="8">
        <f>IFERROR(VLOOKUP(B163,'Runner List'!$B$3:$O$505,6,FALSE),0)</f>
        <v>0</v>
      </c>
      <c r="E163" s="8">
        <f>IFERROR(VLOOKUP(B163,'Runner List'!$B$3:$O$505,7,FALSE),0)</f>
        <v>0</v>
      </c>
      <c r="F163" s="8">
        <f>IFERROR(VLOOKUP(B163,'Runner List'!$B$3:$O$505,8,FALSE),0)</f>
        <v>0</v>
      </c>
      <c r="G163" s="8">
        <f>IFERROR(VLOOKUP(B163,'Runner List'!$B$3:$O$505,9,FALSE),0)</f>
        <v>0</v>
      </c>
      <c r="H163" s="8">
        <f>IFERROR(VLOOKUP(B163,'Runner List'!$B$3:$O$505,10,FALSE),0)</f>
        <v>0</v>
      </c>
      <c r="I163" s="109">
        <f>IFERROR(VLOOKUP(B163,'Runner List'!$B$3:$O$505,12,FALSE),0)</f>
        <v>0</v>
      </c>
    </row>
    <row r="164" spans="1:9" ht="36" customHeight="1">
      <c r="A164" s="8">
        <v>161</v>
      </c>
      <c r="B164" s="49"/>
      <c r="C164" s="10">
        <f>IFERROR(VLOOKUP(B164,'Runner List'!$B$3:$O$505,5,FALSE),0)</f>
        <v>0</v>
      </c>
      <c r="D164" s="8">
        <f>IFERROR(VLOOKUP(B164,'Runner List'!$B$3:$O$505,6,FALSE),0)</f>
        <v>0</v>
      </c>
      <c r="E164" s="8">
        <f>IFERROR(VLOOKUP(B164,'Runner List'!$B$3:$O$505,7,FALSE),0)</f>
        <v>0</v>
      </c>
      <c r="F164" s="8">
        <f>IFERROR(VLOOKUP(B164,'Runner List'!$B$3:$O$505,8,FALSE),0)</f>
        <v>0</v>
      </c>
      <c r="G164" s="8">
        <f>IFERROR(VLOOKUP(B164,'Runner List'!$B$3:$O$505,9,FALSE),0)</f>
        <v>0</v>
      </c>
      <c r="H164" s="8">
        <f>IFERROR(VLOOKUP(B164,'Runner List'!$B$3:$O$505,10,FALSE),0)</f>
        <v>0</v>
      </c>
      <c r="I164" s="109">
        <f>IFERROR(VLOOKUP(B164,'Runner List'!$B$3:$O$505,12,FALSE),0)</f>
        <v>0</v>
      </c>
    </row>
    <row r="165" spans="1:9" ht="36" customHeight="1">
      <c r="A165" s="8">
        <v>162</v>
      </c>
      <c r="B165" s="49"/>
      <c r="C165" s="10">
        <f>IFERROR(VLOOKUP(B165,'Runner List'!$B$3:$O$505,5,FALSE),0)</f>
        <v>0</v>
      </c>
      <c r="D165" s="8">
        <f>IFERROR(VLOOKUP(B165,'Runner List'!$B$3:$O$505,6,FALSE),0)</f>
        <v>0</v>
      </c>
      <c r="E165" s="8">
        <f>IFERROR(VLOOKUP(B165,'Runner List'!$B$3:$O$505,7,FALSE),0)</f>
        <v>0</v>
      </c>
      <c r="F165" s="8">
        <f>IFERROR(VLOOKUP(B165,'Runner List'!$B$3:$O$505,8,FALSE),0)</f>
        <v>0</v>
      </c>
      <c r="G165" s="8">
        <f>IFERROR(VLOOKUP(B165,'Runner List'!$B$3:$O$505,9,FALSE),0)</f>
        <v>0</v>
      </c>
      <c r="H165" s="8">
        <f>IFERROR(VLOOKUP(B165,'Runner List'!$B$3:$O$505,10,FALSE),0)</f>
        <v>0</v>
      </c>
      <c r="I165" s="109">
        <f>IFERROR(VLOOKUP(B165,'Runner List'!$B$3:$O$505,12,FALSE),0)</f>
        <v>0</v>
      </c>
    </row>
    <row r="166" spans="1:9" ht="36" customHeight="1">
      <c r="A166" s="8">
        <v>163</v>
      </c>
      <c r="B166" s="49"/>
      <c r="C166" s="10">
        <f>IFERROR(VLOOKUP(B166,'Runner List'!$B$3:$O$505,5,FALSE),0)</f>
        <v>0</v>
      </c>
      <c r="D166" s="8">
        <f>IFERROR(VLOOKUP(B166,'Runner List'!$B$3:$O$505,6,FALSE),0)</f>
        <v>0</v>
      </c>
      <c r="E166" s="8">
        <f>IFERROR(VLOOKUP(B166,'Runner List'!$B$3:$O$505,7,FALSE),0)</f>
        <v>0</v>
      </c>
      <c r="F166" s="8">
        <f>IFERROR(VLOOKUP(B166,'Runner List'!$B$3:$O$505,8,FALSE),0)</f>
        <v>0</v>
      </c>
      <c r="G166" s="8">
        <f>IFERROR(VLOOKUP(B166,'Runner List'!$B$3:$O$505,9,FALSE),0)</f>
        <v>0</v>
      </c>
      <c r="H166" s="8">
        <f>IFERROR(VLOOKUP(B166,'Runner List'!$B$3:$O$505,10,FALSE),0)</f>
        <v>0</v>
      </c>
      <c r="I166" s="109">
        <f>IFERROR(VLOOKUP(B166,'Runner List'!$B$3:$O$505,12,FALSE),0)</f>
        <v>0</v>
      </c>
    </row>
    <row r="167" spans="1:9" ht="36" customHeight="1">
      <c r="A167" s="8">
        <v>164</v>
      </c>
      <c r="B167" s="49"/>
      <c r="C167" s="10">
        <f>IFERROR(VLOOKUP(B167,'Runner List'!$B$3:$O$505,5,FALSE),0)</f>
        <v>0</v>
      </c>
      <c r="D167" s="8">
        <f>IFERROR(VLOOKUP(B167,'Runner List'!$B$3:$O$505,6,FALSE),0)</f>
        <v>0</v>
      </c>
      <c r="E167" s="8">
        <f>IFERROR(VLOOKUP(B167,'Runner List'!$B$3:$O$505,7,FALSE),0)</f>
        <v>0</v>
      </c>
      <c r="F167" s="8">
        <f>IFERROR(VLOOKUP(B167,'Runner List'!$B$3:$O$505,8,FALSE),0)</f>
        <v>0</v>
      </c>
      <c r="G167" s="8">
        <f>IFERROR(VLOOKUP(B167,'Runner List'!$B$3:$O$505,9,FALSE),0)</f>
        <v>0</v>
      </c>
      <c r="H167" s="8">
        <f>IFERROR(VLOOKUP(B167,'Runner List'!$B$3:$O$505,10,FALSE),0)</f>
        <v>0</v>
      </c>
      <c r="I167" s="109">
        <f>IFERROR(VLOOKUP(B167,'Runner List'!$B$3:$O$505,12,FALSE),0)</f>
        <v>0</v>
      </c>
    </row>
    <row r="168" spans="1:9" ht="36" customHeight="1">
      <c r="A168" s="8">
        <v>165</v>
      </c>
      <c r="B168" s="49"/>
      <c r="C168" s="10">
        <f>IFERROR(VLOOKUP(B168,'Runner List'!$B$3:$O$505,5,FALSE),0)</f>
        <v>0</v>
      </c>
      <c r="D168" s="8">
        <f>IFERROR(VLOOKUP(B168,'Runner List'!$B$3:$O$505,6,FALSE),0)</f>
        <v>0</v>
      </c>
      <c r="E168" s="8">
        <f>IFERROR(VLOOKUP(B168,'Runner List'!$B$3:$O$505,7,FALSE),0)</f>
        <v>0</v>
      </c>
      <c r="F168" s="8">
        <f>IFERROR(VLOOKUP(B168,'Runner List'!$B$3:$O$505,8,FALSE),0)</f>
        <v>0</v>
      </c>
      <c r="G168" s="8">
        <f>IFERROR(VLOOKUP(B168,'Runner List'!$B$3:$O$505,9,FALSE),0)</f>
        <v>0</v>
      </c>
      <c r="H168" s="8">
        <f>IFERROR(VLOOKUP(B168,'Runner List'!$B$3:$O$505,10,FALSE),0)</f>
        <v>0</v>
      </c>
      <c r="I168" s="109">
        <f>IFERROR(VLOOKUP(B168,'Runner List'!$B$3:$O$505,12,FALSE),0)</f>
        <v>0</v>
      </c>
    </row>
    <row r="169" spans="1:9" ht="36" customHeight="1">
      <c r="A169" s="8">
        <v>166</v>
      </c>
      <c r="B169" s="49"/>
      <c r="C169" s="10">
        <f>IFERROR(VLOOKUP(B169,'Runner List'!$B$3:$O$505,5,FALSE),0)</f>
        <v>0</v>
      </c>
      <c r="D169" s="8">
        <f>IFERROR(VLOOKUP(B169,'Runner List'!$B$3:$O$505,6,FALSE),0)</f>
        <v>0</v>
      </c>
      <c r="E169" s="8">
        <f>IFERROR(VLOOKUP(B169,'Runner List'!$B$3:$O$505,7,FALSE),0)</f>
        <v>0</v>
      </c>
      <c r="F169" s="8">
        <f>IFERROR(VLOOKUP(B169,'Runner List'!$B$3:$O$505,8,FALSE),0)</f>
        <v>0</v>
      </c>
      <c r="G169" s="8">
        <f>IFERROR(VLOOKUP(B169,'Runner List'!$B$3:$O$505,9,FALSE),0)</f>
        <v>0</v>
      </c>
      <c r="H169" s="8">
        <f>IFERROR(VLOOKUP(B169,'Runner List'!$B$3:$O$505,10,FALSE),0)</f>
        <v>0</v>
      </c>
      <c r="I169" s="109">
        <f>IFERROR(VLOOKUP(B169,'Runner List'!$B$3:$O$505,12,FALSE),0)</f>
        <v>0</v>
      </c>
    </row>
    <row r="170" spans="1:9" ht="36" customHeight="1">
      <c r="A170" s="8">
        <v>167</v>
      </c>
      <c r="B170" s="49"/>
      <c r="C170" s="10">
        <f>IFERROR(VLOOKUP(B170,'Runner List'!$B$3:$O$505,5,FALSE),0)</f>
        <v>0</v>
      </c>
      <c r="D170" s="8">
        <f>IFERROR(VLOOKUP(B170,'Runner List'!$B$3:$O$505,6,FALSE),0)</f>
        <v>0</v>
      </c>
      <c r="E170" s="8">
        <f>IFERROR(VLOOKUP(B170,'Runner List'!$B$3:$O$505,7,FALSE),0)</f>
        <v>0</v>
      </c>
      <c r="F170" s="8">
        <f>IFERROR(VLOOKUP(B170,'Runner List'!$B$3:$O$505,8,FALSE),0)</f>
        <v>0</v>
      </c>
      <c r="G170" s="8">
        <f>IFERROR(VLOOKUP(B170,'Runner List'!$B$3:$O$505,9,FALSE),0)</f>
        <v>0</v>
      </c>
      <c r="H170" s="8">
        <f>IFERROR(VLOOKUP(B170,'Runner List'!$B$3:$O$505,10,FALSE),0)</f>
        <v>0</v>
      </c>
      <c r="I170" s="109">
        <f>IFERROR(VLOOKUP(B170,'Runner List'!$B$3:$O$505,12,FALSE),0)</f>
        <v>0</v>
      </c>
    </row>
    <row r="171" spans="1:9" ht="36" customHeight="1">
      <c r="A171" s="8">
        <v>168</v>
      </c>
      <c r="B171" s="49"/>
      <c r="C171" s="10">
        <f>IFERROR(VLOOKUP(B171,'Runner List'!$B$3:$O$505,5,FALSE),0)</f>
        <v>0</v>
      </c>
      <c r="D171" s="8">
        <f>IFERROR(VLOOKUP(B171,'Runner List'!$B$3:$O$505,6,FALSE),0)</f>
        <v>0</v>
      </c>
      <c r="E171" s="8">
        <f>IFERROR(VLOOKUP(B171,'Runner List'!$B$3:$O$505,7,FALSE),0)</f>
        <v>0</v>
      </c>
      <c r="F171" s="8">
        <f>IFERROR(VLOOKUP(B171,'Runner List'!$B$3:$O$505,8,FALSE),0)</f>
        <v>0</v>
      </c>
      <c r="G171" s="8">
        <f>IFERROR(VLOOKUP(B171,'Runner List'!$B$3:$O$505,9,FALSE),0)</f>
        <v>0</v>
      </c>
      <c r="H171" s="8">
        <f>IFERROR(VLOOKUP(B171,'Runner List'!$B$3:$O$505,10,FALSE),0)</f>
        <v>0</v>
      </c>
      <c r="I171" s="109">
        <f>IFERROR(VLOOKUP(B171,'Runner List'!$B$3:$O$505,12,FALSE),0)</f>
        <v>0</v>
      </c>
    </row>
    <row r="172" spans="1:9" ht="36" customHeight="1">
      <c r="A172" s="8">
        <v>169</v>
      </c>
      <c r="B172" s="49"/>
      <c r="C172" s="10">
        <f>IFERROR(VLOOKUP(B172,'Runner List'!$B$3:$O$505,5,FALSE),0)</f>
        <v>0</v>
      </c>
      <c r="D172" s="8">
        <f>IFERROR(VLOOKUP(B172,'Runner List'!$B$3:$O$505,6,FALSE),0)</f>
        <v>0</v>
      </c>
      <c r="E172" s="8">
        <f>IFERROR(VLOOKUP(B172,'Runner List'!$B$3:$O$505,7,FALSE),0)</f>
        <v>0</v>
      </c>
      <c r="F172" s="8">
        <f>IFERROR(VLOOKUP(B172,'Runner List'!$B$3:$O$505,8,FALSE),0)</f>
        <v>0</v>
      </c>
      <c r="G172" s="8">
        <f>IFERROR(VLOOKUP(B172,'Runner List'!$B$3:$O$505,9,FALSE),0)</f>
        <v>0</v>
      </c>
      <c r="H172" s="8">
        <f>IFERROR(VLOOKUP(B172,'Runner List'!$B$3:$O$505,10,FALSE),0)</f>
        <v>0</v>
      </c>
      <c r="I172" s="109">
        <f>IFERROR(VLOOKUP(B172,'Runner List'!$B$3:$O$505,12,FALSE),0)</f>
        <v>0</v>
      </c>
    </row>
    <row r="173" spans="1:9" ht="36" customHeight="1">
      <c r="A173" s="8">
        <v>170</v>
      </c>
      <c r="B173" s="49"/>
      <c r="C173" s="10">
        <f>IFERROR(VLOOKUP(B173,'Runner List'!$B$3:$O$505,5,FALSE),0)</f>
        <v>0</v>
      </c>
      <c r="D173" s="8">
        <f>IFERROR(VLOOKUP(B173,'Runner List'!$B$3:$O$505,6,FALSE),0)</f>
        <v>0</v>
      </c>
      <c r="E173" s="8">
        <f>IFERROR(VLOOKUP(B173,'Runner List'!$B$3:$O$505,7,FALSE),0)</f>
        <v>0</v>
      </c>
      <c r="F173" s="8">
        <f>IFERROR(VLOOKUP(B173,'Runner List'!$B$3:$O$505,8,FALSE),0)</f>
        <v>0</v>
      </c>
      <c r="G173" s="8">
        <f>IFERROR(VLOOKUP(B173,'Runner List'!$B$3:$O$505,9,FALSE),0)</f>
        <v>0</v>
      </c>
      <c r="H173" s="8">
        <f>IFERROR(VLOOKUP(B173,'Runner List'!$B$3:$O$505,10,FALSE),0)</f>
        <v>0</v>
      </c>
      <c r="I173" s="109">
        <f>IFERROR(VLOOKUP(B173,'Runner List'!$B$3:$O$505,12,FALSE),0)</f>
        <v>0</v>
      </c>
    </row>
    <row r="174" spans="1:9" ht="36" customHeight="1">
      <c r="A174" s="8">
        <v>171</v>
      </c>
      <c r="B174" s="49"/>
      <c r="C174" s="10">
        <f>IFERROR(VLOOKUP(B174,'Runner List'!$B$3:$O$505,5,FALSE),0)</f>
        <v>0</v>
      </c>
      <c r="D174" s="8">
        <f>IFERROR(VLOOKUP(B174,'Runner List'!$B$3:$O$505,6,FALSE),0)</f>
        <v>0</v>
      </c>
      <c r="E174" s="8">
        <f>IFERROR(VLOOKUP(B174,'Runner List'!$B$3:$O$505,7,FALSE),0)</f>
        <v>0</v>
      </c>
      <c r="F174" s="8">
        <f>IFERROR(VLOOKUP(B174,'Runner List'!$B$3:$O$505,8,FALSE),0)</f>
        <v>0</v>
      </c>
      <c r="G174" s="8">
        <f>IFERROR(VLOOKUP(B174,'Runner List'!$B$3:$O$505,9,FALSE),0)</f>
        <v>0</v>
      </c>
      <c r="H174" s="8">
        <f>IFERROR(VLOOKUP(B174,'Runner List'!$B$3:$O$505,10,FALSE),0)</f>
        <v>0</v>
      </c>
      <c r="I174" s="109">
        <f>IFERROR(VLOOKUP(B174,'Runner List'!$B$3:$O$505,12,FALSE),0)</f>
        <v>0</v>
      </c>
    </row>
    <row r="175" spans="1:9" ht="36" customHeight="1">
      <c r="A175" s="8">
        <v>172</v>
      </c>
      <c r="B175" s="49"/>
      <c r="C175" s="10">
        <f>IFERROR(VLOOKUP(B175,'Runner List'!$B$3:$O$505,5,FALSE),0)</f>
        <v>0</v>
      </c>
      <c r="D175" s="8">
        <f>IFERROR(VLOOKUP(B175,'Runner List'!$B$3:$O$505,6,FALSE),0)</f>
        <v>0</v>
      </c>
      <c r="E175" s="8">
        <f>IFERROR(VLOOKUP(B175,'Runner List'!$B$3:$O$505,7,FALSE),0)</f>
        <v>0</v>
      </c>
      <c r="F175" s="8">
        <f>IFERROR(VLOOKUP(B175,'Runner List'!$B$3:$O$505,8,FALSE),0)</f>
        <v>0</v>
      </c>
      <c r="G175" s="8">
        <f>IFERROR(VLOOKUP(B175,'Runner List'!$B$3:$O$505,9,FALSE),0)</f>
        <v>0</v>
      </c>
      <c r="H175" s="8">
        <f>IFERROR(VLOOKUP(B175,'Runner List'!$B$3:$O$505,10,FALSE),0)</f>
        <v>0</v>
      </c>
      <c r="I175" s="109">
        <f>IFERROR(VLOOKUP(B175,'Runner List'!$B$3:$O$505,12,FALSE),0)</f>
        <v>0</v>
      </c>
    </row>
    <row r="176" spans="1:9" ht="36" customHeight="1">
      <c r="A176" s="8">
        <v>173</v>
      </c>
      <c r="B176" s="49"/>
      <c r="C176" s="10">
        <f>IFERROR(VLOOKUP(B176,'Runner List'!$B$3:$O$505,5,FALSE),0)</f>
        <v>0</v>
      </c>
      <c r="D176" s="8">
        <f>IFERROR(VLOOKUP(B176,'Runner List'!$B$3:$O$505,6,FALSE),0)</f>
        <v>0</v>
      </c>
      <c r="E176" s="8">
        <f>IFERROR(VLOOKUP(B176,'Runner List'!$B$3:$O$505,7,FALSE),0)</f>
        <v>0</v>
      </c>
      <c r="F176" s="8">
        <f>IFERROR(VLOOKUP(B176,'Runner List'!$B$3:$O$505,8,FALSE),0)</f>
        <v>0</v>
      </c>
      <c r="G176" s="8">
        <f>IFERROR(VLOOKUP(B176,'Runner List'!$B$3:$O$505,9,FALSE),0)</f>
        <v>0</v>
      </c>
      <c r="H176" s="8">
        <f>IFERROR(VLOOKUP(B176,'Runner List'!$B$3:$O$505,10,FALSE),0)</f>
        <v>0</v>
      </c>
      <c r="I176" s="109">
        <f>IFERROR(VLOOKUP(B176,'Runner List'!$B$3:$O$505,12,FALSE),0)</f>
        <v>0</v>
      </c>
    </row>
    <row r="177" spans="1:9" ht="36" customHeight="1">
      <c r="A177" s="8">
        <v>174</v>
      </c>
      <c r="B177" s="49"/>
      <c r="C177" s="10">
        <f>IFERROR(VLOOKUP(B177,'Runner List'!$B$3:$O$505,5,FALSE),0)</f>
        <v>0</v>
      </c>
      <c r="D177" s="8">
        <f>IFERROR(VLOOKUP(B177,'Runner List'!$B$3:$O$505,6,FALSE),0)</f>
        <v>0</v>
      </c>
      <c r="E177" s="8">
        <f>IFERROR(VLOOKUP(B177,'Runner List'!$B$3:$O$505,7,FALSE),0)</f>
        <v>0</v>
      </c>
      <c r="F177" s="8">
        <f>IFERROR(VLOOKUP(B177,'Runner List'!$B$3:$O$505,8,FALSE),0)</f>
        <v>0</v>
      </c>
      <c r="G177" s="8">
        <f>IFERROR(VLOOKUP(B177,'Runner List'!$B$3:$O$505,9,FALSE),0)</f>
        <v>0</v>
      </c>
      <c r="H177" s="8">
        <f>IFERROR(VLOOKUP(B177,'Runner List'!$B$3:$O$505,10,FALSE),0)</f>
        <v>0</v>
      </c>
      <c r="I177" s="109">
        <f>IFERROR(VLOOKUP(B177,'Runner List'!$B$3:$O$505,12,FALSE),0)</f>
        <v>0</v>
      </c>
    </row>
    <row r="178" spans="1:9" ht="36" customHeight="1">
      <c r="A178" s="8">
        <v>175</v>
      </c>
      <c r="B178" s="49"/>
      <c r="C178" s="10">
        <f>IFERROR(VLOOKUP(B178,'Runner List'!$B$3:$O$505,5,FALSE),0)</f>
        <v>0</v>
      </c>
      <c r="D178" s="8">
        <f>IFERROR(VLOOKUP(B178,'Runner List'!$B$3:$O$505,6,FALSE),0)</f>
        <v>0</v>
      </c>
      <c r="E178" s="8">
        <f>IFERROR(VLOOKUP(B178,'Runner List'!$B$3:$O$505,7,FALSE),0)</f>
        <v>0</v>
      </c>
      <c r="F178" s="8">
        <f>IFERROR(VLOOKUP(B178,'Runner List'!$B$3:$O$505,8,FALSE),0)</f>
        <v>0</v>
      </c>
      <c r="G178" s="8">
        <f>IFERROR(VLOOKUP(B178,'Runner List'!$B$3:$O$505,9,FALSE),0)</f>
        <v>0</v>
      </c>
      <c r="H178" s="8">
        <f>IFERROR(VLOOKUP(B178,'Runner List'!$B$3:$O$505,10,FALSE),0)</f>
        <v>0</v>
      </c>
      <c r="I178" s="109">
        <f>IFERROR(VLOOKUP(B178,'Runner List'!$B$3:$O$505,12,FALSE),0)</f>
        <v>0</v>
      </c>
    </row>
    <row r="179" spans="1:9" ht="36" customHeight="1">
      <c r="A179" s="8">
        <v>176</v>
      </c>
      <c r="B179" s="49"/>
      <c r="C179" s="10">
        <f>IFERROR(VLOOKUP(B179,'Runner List'!$B$3:$O$505,5,FALSE),0)</f>
        <v>0</v>
      </c>
      <c r="D179" s="8">
        <f>IFERROR(VLOOKUP(B179,'Runner List'!$B$3:$O$505,6,FALSE),0)</f>
        <v>0</v>
      </c>
      <c r="E179" s="8">
        <f>IFERROR(VLOOKUP(B179,'Runner List'!$B$3:$O$505,7,FALSE),0)</f>
        <v>0</v>
      </c>
      <c r="F179" s="8">
        <f>IFERROR(VLOOKUP(B179,'Runner List'!$B$3:$O$505,8,FALSE),0)</f>
        <v>0</v>
      </c>
      <c r="G179" s="8">
        <f>IFERROR(VLOOKUP(B179,'Runner List'!$B$3:$O$505,9,FALSE),0)</f>
        <v>0</v>
      </c>
      <c r="H179" s="8">
        <f>IFERROR(VLOOKUP(B179,'Runner List'!$B$3:$O$505,10,FALSE),0)</f>
        <v>0</v>
      </c>
      <c r="I179" s="109">
        <f>IFERROR(VLOOKUP(B179,'Runner List'!$B$3:$O$505,12,FALSE),0)</f>
        <v>0</v>
      </c>
    </row>
    <row r="180" spans="1:9" ht="36" customHeight="1">
      <c r="A180" s="8">
        <v>177</v>
      </c>
      <c r="B180" s="49"/>
      <c r="C180" s="10">
        <f>IFERROR(VLOOKUP(B180,'Runner List'!$B$3:$O$505,5,FALSE),0)</f>
        <v>0</v>
      </c>
      <c r="D180" s="8">
        <f>IFERROR(VLOOKUP(B180,'Runner List'!$B$3:$O$505,6,FALSE),0)</f>
        <v>0</v>
      </c>
      <c r="E180" s="8">
        <f>IFERROR(VLOOKUP(B180,'Runner List'!$B$3:$O$505,7,FALSE),0)</f>
        <v>0</v>
      </c>
      <c r="F180" s="8">
        <f>IFERROR(VLOOKUP(B180,'Runner List'!$B$3:$O$505,8,FALSE),0)</f>
        <v>0</v>
      </c>
      <c r="G180" s="8">
        <f>IFERROR(VLOOKUP(B180,'Runner List'!$B$3:$O$505,9,FALSE),0)</f>
        <v>0</v>
      </c>
      <c r="H180" s="8">
        <f>IFERROR(VLOOKUP(B180,'Runner List'!$B$3:$O$505,10,FALSE),0)</f>
        <v>0</v>
      </c>
      <c r="I180" s="109">
        <f>IFERROR(VLOOKUP(B180,'Runner List'!$B$3:$O$505,12,FALSE),0)</f>
        <v>0</v>
      </c>
    </row>
    <row r="181" spans="1:9" ht="36" customHeight="1">
      <c r="A181" s="8">
        <v>178</v>
      </c>
      <c r="B181" s="49"/>
      <c r="C181" s="10">
        <f>IFERROR(VLOOKUP(B181,'Runner List'!$B$3:$O$505,5,FALSE),0)</f>
        <v>0</v>
      </c>
      <c r="D181" s="8">
        <f>IFERROR(VLOOKUP(B181,'Runner List'!$B$3:$O$505,6,FALSE),0)</f>
        <v>0</v>
      </c>
      <c r="E181" s="8">
        <f>IFERROR(VLOOKUP(B181,'Runner List'!$B$3:$O$505,7,FALSE),0)</f>
        <v>0</v>
      </c>
      <c r="F181" s="8">
        <f>IFERROR(VLOOKUP(B181,'Runner List'!$B$3:$O$505,8,FALSE),0)</f>
        <v>0</v>
      </c>
      <c r="G181" s="8">
        <f>IFERROR(VLOOKUP(B181,'Runner List'!$B$3:$O$505,9,FALSE),0)</f>
        <v>0</v>
      </c>
      <c r="H181" s="8">
        <f>IFERROR(VLOOKUP(B181,'Runner List'!$B$3:$O$505,10,FALSE),0)</f>
        <v>0</v>
      </c>
      <c r="I181" s="109">
        <f>IFERROR(VLOOKUP(B181,'Runner List'!$B$3:$O$505,12,FALSE),0)</f>
        <v>0</v>
      </c>
    </row>
    <row r="182" spans="1:9" ht="36" customHeight="1">
      <c r="A182" s="8">
        <v>179</v>
      </c>
      <c r="B182" s="49"/>
      <c r="C182" s="10">
        <f>IFERROR(VLOOKUP(B182,'Runner List'!$B$3:$O$505,5,FALSE),0)</f>
        <v>0</v>
      </c>
      <c r="D182" s="8">
        <f>IFERROR(VLOOKUP(B182,'Runner List'!$B$3:$O$505,6,FALSE),0)</f>
        <v>0</v>
      </c>
      <c r="E182" s="8">
        <f>IFERROR(VLOOKUP(B182,'Runner List'!$B$3:$O$505,7,FALSE),0)</f>
        <v>0</v>
      </c>
      <c r="F182" s="8">
        <f>IFERROR(VLOOKUP(B182,'Runner List'!$B$3:$O$505,8,FALSE),0)</f>
        <v>0</v>
      </c>
      <c r="G182" s="8">
        <f>IFERROR(VLOOKUP(B182,'Runner List'!$B$3:$O$505,9,FALSE),0)</f>
        <v>0</v>
      </c>
      <c r="H182" s="8">
        <f>IFERROR(VLOOKUP(B182,'Runner List'!$B$3:$O$505,10,FALSE),0)</f>
        <v>0</v>
      </c>
      <c r="I182" s="109">
        <f>IFERROR(VLOOKUP(B182,'Runner List'!$B$3:$O$505,12,FALSE),0)</f>
        <v>0</v>
      </c>
    </row>
    <row r="183" spans="1:9" ht="36" customHeight="1">
      <c r="A183" s="8">
        <v>180</v>
      </c>
      <c r="B183" s="49"/>
      <c r="C183" s="10">
        <f>IFERROR(VLOOKUP(B183,'Runner List'!$B$3:$O$505,5,FALSE),0)</f>
        <v>0</v>
      </c>
      <c r="D183" s="8">
        <f>IFERROR(VLOOKUP(B183,'Runner List'!$B$3:$O$505,6,FALSE),0)</f>
        <v>0</v>
      </c>
      <c r="E183" s="8">
        <f>IFERROR(VLOOKUP(B183,'Runner List'!$B$3:$O$505,7,FALSE),0)</f>
        <v>0</v>
      </c>
      <c r="F183" s="8">
        <f>IFERROR(VLOOKUP(B183,'Runner List'!$B$3:$O$505,8,FALSE),0)</f>
        <v>0</v>
      </c>
      <c r="G183" s="8">
        <f>IFERROR(VLOOKUP(B183,'Runner List'!$B$3:$O$505,9,FALSE),0)</f>
        <v>0</v>
      </c>
      <c r="H183" s="8">
        <f>IFERROR(VLOOKUP(B183,'Runner List'!$B$3:$O$505,10,FALSE),0)</f>
        <v>0</v>
      </c>
      <c r="I183" s="109">
        <f>IFERROR(VLOOKUP(B183,'Runner List'!$B$3:$O$505,12,FALSE),0)</f>
        <v>0</v>
      </c>
    </row>
    <row r="184" spans="1:9" ht="36" customHeight="1">
      <c r="A184" s="8">
        <v>181</v>
      </c>
      <c r="B184" s="49"/>
      <c r="C184" s="10">
        <f>IFERROR(VLOOKUP(B184,'Runner List'!$B$3:$O$505,5,FALSE),0)</f>
        <v>0</v>
      </c>
      <c r="D184" s="8">
        <f>IFERROR(VLOOKUP(B184,'Runner List'!$B$3:$O$505,6,FALSE),0)</f>
        <v>0</v>
      </c>
      <c r="E184" s="8">
        <f>IFERROR(VLOOKUP(B184,'Runner List'!$B$3:$O$505,7,FALSE),0)</f>
        <v>0</v>
      </c>
      <c r="F184" s="8">
        <f>IFERROR(VLOOKUP(B184,'Runner List'!$B$3:$O$505,8,FALSE),0)</f>
        <v>0</v>
      </c>
      <c r="G184" s="8">
        <f>IFERROR(VLOOKUP(B184,'Runner List'!$B$3:$O$505,9,FALSE),0)</f>
        <v>0</v>
      </c>
      <c r="H184" s="8">
        <f>IFERROR(VLOOKUP(B184,'Runner List'!$B$3:$O$505,10,FALSE),0)</f>
        <v>0</v>
      </c>
      <c r="I184" s="109">
        <f>IFERROR(VLOOKUP(B184,'Runner List'!$B$3:$O$505,12,FALSE),0)</f>
        <v>0</v>
      </c>
    </row>
    <row r="185" spans="1:9" ht="36" customHeight="1">
      <c r="A185" s="8">
        <v>182</v>
      </c>
      <c r="B185" s="49"/>
      <c r="C185" s="10">
        <f>IFERROR(VLOOKUP(B185,'Runner List'!$B$3:$O$505,5,FALSE),0)</f>
        <v>0</v>
      </c>
      <c r="D185" s="8">
        <f>IFERROR(VLOOKUP(B185,'Runner List'!$B$3:$O$505,6,FALSE),0)</f>
        <v>0</v>
      </c>
      <c r="E185" s="8">
        <f>IFERROR(VLOOKUP(B185,'Runner List'!$B$3:$O$505,7,FALSE),0)</f>
        <v>0</v>
      </c>
      <c r="F185" s="8">
        <f>IFERROR(VLOOKUP(B185,'Runner List'!$B$3:$O$505,8,FALSE),0)</f>
        <v>0</v>
      </c>
      <c r="G185" s="8">
        <f>IFERROR(VLOOKUP(B185,'Runner List'!$B$3:$O$505,9,FALSE),0)</f>
        <v>0</v>
      </c>
      <c r="H185" s="8">
        <f>IFERROR(VLOOKUP(B185,'Runner List'!$B$3:$O$505,10,FALSE),0)</f>
        <v>0</v>
      </c>
      <c r="I185" s="109">
        <f>IFERROR(VLOOKUP(B185,'Runner List'!$B$3:$O$505,12,FALSE),0)</f>
        <v>0</v>
      </c>
    </row>
    <row r="186" spans="1:9" ht="36" customHeight="1">
      <c r="A186" s="8">
        <v>183</v>
      </c>
      <c r="B186" s="49"/>
      <c r="C186" s="10">
        <f>IFERROR(VLOOKUP(B186,'Runner List'!$B$3:$O$505,5,FALSE),0)</f>
        <v>0</v>
      </c>
      <c r="D186" s="8">
        <f>IFERROR(VLOOKUP(B186,'Runner List'!$B$3:$O$505,6,FALSE),0)</f>
        <v>0</v>
      </c>
      <c r="E186" s="8">
        <f>IFERROR(VLOOKUP(B186,'Runner List'!$B$3:$O$505,7,FALSE),0)</f>
        <v>0</v>
      </c>
      <c r="F186" s="8">
        <f>IFERROR(VLOOKUP(B186,'Runner List'!$B$3:$O$505,8,FALSE),0)</f>
        <v>0</v>
      </c>
      <c r="G186" s="8">
        <f>IFERROR(VLOOKUP(B186,'Runner List'!$B$3:$O$505,9,FALSE),0)</f>
        <v>0</v>
      </c>
      <c r="H186" s="8">
        <f>IFERROR(VLOOKUP(B186,'Runner List'!$B$3:$O$505,10,FALSE),0)</f>
        <v>0</v>
      </c>
      <c r="I186" s="109">
        <f>IFERROR(VLOOKUP(B186,'Runner List'!$B$3:$O$505,12,FALSE),0)</f>
        <v>0</v>
      </c>
    </row>
    <row r="187" spans="1:9" ht="36" customHeight="1">
      <c r="A187" s="8">
        <v>184</v>
      </c>
      <c r="B187" s="49"/>
      <c r="C187" s="10">
        <f>IFERROR(VLOOKUP(B187,'Runner List'!$B$3:$O$505,5,FALSE),0)</f>
        <v>0</v>
      </c>
      <c r="D187" s="8">
        <f>IFERROR(VLOOKUP(B187,'Runner List'!$B$3:$O$505,6,FALSE),0)</f>
        <v>0</v>
      </c>
      <c r="E187" s="8">
        <f>IFERROR(VLOOKUP(B187,'Runner List'!$B$3:$O$505,7,FALSE),0)</f>
        <v>0</v>
      </c>
      <c r="F187" s="8">
        <f>IFERROR(VLOOKUP(B187,'Runner List'!$B$3:$O$505,8,FALSE),0)</f>
        <v>0</v>
      </c>
      <c r="G187" s="8">
        <f>IFERROR(VLOOKUP(B187,'Runner List'!$B$3:$O$505,9,FALSE),0)</f>
        <v>0</v>
      </c>
      <c r="H187" s="8">
        <f>IFERROR(VLOOKUP(B187,'Runner List'!$B$3:$O$505,10,FALSE),0)</f>
        <v>0</v>
      </c>
      <c r="I187" s="109">
        <f>IFERROR(VLOOKUP(B187,'Runner List'!$B$3:$O$505,12,FALSE),0)</f>
        <v>0</v>
      </c>
    </row>
    <row r="188" spans="1:9" ht="36" customHeight="1">
      <c r="A188" s="8">
        <v>185</v>
      </c>
      <c r="B188" s="49"/>
      <c r="C188" s="10">
        <f>IFERROR(VLOOKUP(B188,'Runner List'!$B$3:$O$505,5,FALSE),0)</f>
        <v>0</v>
      </c>
      <c r="D188" s="8">
        <f>IFERROR(VLOOKUP(B188,'Runner List'!$B$3:$O$505,6,FALSE),0)</f>
        <v>0</v>
      </c>
      <c r="E188" s="8">
        <f>IFERROR(VLOOKUP(B188,'Runner List'!$B$3:$O$505,7,FALSE),0)</f>
        <v>0</v>
      </c>
      <c r="F188" s="8">
        <f>IFERROR(VLOOKUP(B188,'Runner List'!$B$3:$O$505,8,FALSE),0)</f>
        <v>0</v>
      </c>
      <c r="G188" s="8">
        <f>IFERROR(VLOOKUP(B188,'Runner List'!$B$3:$O$505,9,FALSE),0)</f>
        <v>0</v>
      </c>
      <c r="H188" s="8">
        <f>IFERROR(VLOOKUP(B188,'Runner List'!$B$3:$O$505,10,FALSE),0)</f>
        <v>0</v>
      </c>
      <c r="I188" s="109">
        <f>IFERROR(VLOOKUP(B188,'Runner List'!$B$3:$O$505,12,FALSE),0)</f>
        <v>0</v>
      </c>
    </row>
    <row r="189" spans="1:9" ht="36" customHeight="1">
      <c r="A189" s="8">
        <v>186</v>
      </c>
      <c r="B189" s="49"/>
      <c r="C189" s="10">
        <f>IFERROR(VLOOKUP(B189,'Runner List'!$B$3:$O$505,5,FALSE),0)</f>
        <v>0</v>
      </c>
      <c r="D189" s="8">
        <f>IFERROR(VLOOKUP(B189,'Runner List'!$B$3:$O$505,6,FALSE),0)</f>
        <v>0</v>
      </c>
      <c r="E189" s="8">
        <f>IFERROR(VLOOKUP(B189,'Runner List'!$B$3:$O$505,7,FALSE),0)</f>
        <v>0</v>
      </c>
      <c r="F189" s="8">
        <f>IFERROR(VLOOKUP(B189,'Runner List'!$B$3:$O$505,8,FALSE),0)</f>
        <v>0</v>
      </c>
      <c r="G189" s="8">
        <f>IFERROR(VLOOKUP(B189,'Runner List'!$B$3:$O$505,9,FALSE),0)</f>
        <v>0</v>
      </c>
      <c r="H189" s="8">
        <f>IFERROR(VLOOKUP(B189,'Runner List'!$B$3:$O$505,10,FALSE),0)</f>
        <v>0</v>
      </c>
      <c r="I189" s="109">
        <f>IFERROR(VLOOKUP(B189,'Runner List'!$B$3:$O$505,12,FALSE),0)</f>
        <v>0</v>
      </c>
    </row>
    <row r="190" spans="1:9" ht="36" customHeight="1">
      <c r="A190" s="8">
        <v>187</v>
      </c>
      <c r="B190" s="49"/>
      <c r="C190" s="10">
        <f>IFERROR(VLOOKUP(B190,'Runner List'!$B$3:$O$505,5,FALSE),0)</f>
        <v>0</v>
      </c>
      <c r="D190" s="8">
        <f>IFERROR(VLOOKUP(B190,'Runner List'!$B$3:$O$505,6,FALSE),0)</f>
        <v>0</v>
      </c>
      <c r="E190" s="8">
        <f>IFERROR(VLOOKUP(B190,'Runner List'!$B$3:$O$505,7,FALSE),0)</f>
        <v>0</v>
      </c>
      <c r="F190" s="8">
        <f>IFERROR(VLOOKUP(B190,'Runner List'!$B$3:$O$505,8,FALSE),0)</f>
        <v>0</v>
      </c>
      <c r="G190" s="8">
        <f>IFERROR(VLOOKUP(B190,'Runner List'!$B$3:$O$505,9,FALSE),0)</f>
        <v>0</v>
      </c>
      <c r="H190" s="8">
        <f>IFERROR(VLOOKUP(B190,'Runner List'!$B$3:$O$505,10,FALSE),0)</f>
        <v>0</v>
      </c>
      <c r="I190" s="109">
        <f>IFERROR(VLOOKUP(B190,'Runner List'!$B$3:$O$505,12,FALSE),0)</f>
        <v>0</v>
      </c>
    </row>
    <row r="191" spans="1:9" ht="36" customHeight="1">
      <c r="A191" s="8">
        <v>188</v>
      </c>
      <c r="B191" s="49"/>
      <c r="C191" s="10">
        <f>IFERROR(VLOOKUP(B191,'Runner List'!$B$3:$O$505,5,FALSE),0)</f>
        <v>0</v>
      </c>
      <c r="D191" s="8">
        <f>IFERROR(VLOOKUP(B191,'Runner List'!$B$3:$O$505,6,FALSE),0)</f>
        <v>0</v>
      </c>
      <c r="E191" s="8">
        <f>IFERROR(VLOOKUP(B191,'Runner List'!$B$3:$O$505,7,FALSE),0)</f>
        <v>0</v>
      </c>
      <c r="F191" s="8">
        <f>IFERROR(VLOOKUP(B191,'Runner List'!$B$3:$O$505,8,FALSE),0)</f>
        <v>0</v>
      </c>
      <c r="G191" s="8">
        <f>IFERROR(VLOOKUP(B191,'Runner List'!$B$3:$O$505,9,FALSE),0)</f>
        <v>0</v>
      </c>
      <c r="H191" s="8">
        <f>IFERROR(VLOOKUP(B191,'Runner List'!$B$3:$O$505,10,FALSE),0)</f>
        <v>0</v>
      </c>
      <c r="I191" s="109">
        <f>IFERROR(VLOOKUP(B191,'Runner List'!$B$3:$O$505,12,FALSE),0)</f>
        <v>0</v>
      </c>
    </row>
    <row r="192" spans="1:9" ht="36" customHeight="1">
      <c r="A192" s="8">
        <v>189</v>
      </c>
      <c r="B192" s="49"/>
      <c r="C192" s="10">
        <f>IFERROR(VLOOKUP(B192,'Runner List'!$B$3:$O$505,5,FALSE),0)</f>
        <v>0</v>
      </c>
      <c r="D192" s="8">
        <f>IFERROR(VLOOKUP(B192,'Runner List'!$B$3:$O$505,6,FALSE),0)</f>
        <v>0</v>
      </c>
      <c r="E192" s="8">
        <f>IFERROR(VLOOKUP(B192,'Runner List'!$B$3:$O$505,7,FALSE),0)</f>
        <v>0</v>
      </c>
      <c r="F192" s="8">
        <f>IFERROR(VLOOKUP(B192,'Runner List'!$B$3:$O$505,8,FALSE),0)</f>
        <v>0</v>
      </c>
      <c r="G192" s="8">
        <f>IFERROR(VLOOKUP(B192,'Runner List'!$B$3:$O$505,9,FALSE),0)</f>
        <v>0</v>
      </c>
      <c r="H192" s="8">
        <f>IFERROR(VLOOKUP(B192,'Runner List'!$B$3:$O$505,10,FALSE),0)</f>
        <v>0</v>
      </c>
      <c r="I192" s="109">
        <f>IFERROR(VLOOKUP(B192,'Runner List'!$B$3:$O$505,12,FALSE),0)</f>
        <v>0</v>
      </c>
    </row>
    <row r="193" spans="1:9" ht="36" customHeight="1">
      <c r="A193" s="8">
        <v>190</v>
      </c>
      <c r="B193" s="49"/>
      <c r="C193" s="10">
        <f>IFERROR(VLOOKUP(B193,'Runner List'!$B$3:$O$505,5,FALSE),0)</f>
        <v>0</v>
      </c>
      <c r="D193" s="8">
        <f>IFERROR(VLOOKUP(B193,'Runner List'!$B$3:$O$505,6,FALSE),0)</f>
        <v>0</v>
      </c>
      <c r="E193" s="8">
        <f>IFERROR(VLOOKUP(B193,'Runner List'!$B$3:$O$505,7,FALSE),0)</f>
        <v>0</v>
      </c>
      <c r="F193" s="8">
        <f>IFERROR(VLOOKUP(B193,'Runner List'!$B$3:$O$505,8,FALSE),0)</f>
        <v>0</v>
      </c>
      <c r="G193" s="8">
        <f>IFERROR(VLOOKUP(B193,'Runner List'!$B$3:$O$505,9,FALSE),0)</f>
        <v>0</v>
      </c>
      <c r="H193" s="8">
        <f>IFERROR(VLOOKUP(B193,'Runner List'!$B$3:$O$505,10,FALSE),0)</f>
        <v>0</v>
      </c>
      <c r="I193" s="109">
        <f>IFERROR(VLOOKUP(B193,'Runner List'!$B$3:$O$505,12,FALSE),0)</f>
        <v>0</v>
      </c>
    </row>
    <row r="194" spans="1:9" ht="36" customHeight="1">
      <c r="A194" s="8">
        <v>191</v>
      </c>
      <c r="B194" s="49"/>
      <c r="C194" s="10">
        <f>IFERROR(VLOOKUP(B194,'Runner List'!$B$3:$O$505,5,FALSE),0)</f>
        <v>0</v>
      </c>
      <c r="D194" s="8">
        <f>IFERROR(VLOOKUP(B194,'Runner List'!$B$3:$O$505,6,FALSE),0)</f>
        <v>0</v>
      </c>
      <c r="E194" s="8">
        <f>IFERROR(VLOOKUP(B194,'Runner List'!$B$3:$O$505,7,FALSE),0)</f>
        <v>0</v>
      </c>
      <c r="F194" s="8">
        <f>IFERROR(VLOOKUP(B194,'Runner List'!$B$3:$O$505,8,FALSE),0)</f>
        <v>0</v>
      </c>
      <c r="G194" s="8">
        <f>IFERROR(VLOOKUP(B194,'Runner List'!$B$3:$O$505,9,FALSE),0)</f>
        <v>0</v>
      </c>
      <c r="H194" s="8">
        <f>IFERROR(VLOOKUP(B194,'Runner List'!$B$3:$O$505,10,FALSE),0)</f>
        <v>0</v>
      </c>
      <c r="I194" s="109">
        <f>IFERROR(VLOOKUP(B194,'Runner List'!$B$3:$O$505,12,FALSE),0)</f>
        <v>0</v>
      </c>
    </row>
    <row r="195" spans="1:9" ht="36" customHeight="1">
      <c r="A195" s="8">
        <v>192</v>
      </c>
      <c r="B195" s="49"/>
      <c r="C195" s="10">
        <f>IFERROR(VLOOKUP(B195,'Runner List'!$B$3:$O$505,5,FALSE),0)</f>
        <v>0</v>
      </c>
      <c r="D195" s="8">
        <f>IFERROR(VLOOKUP(B195,'Runner List'!$B$3:$O$505,6,FALSE),0)</f>
        <v>0</v>
      </c>
      <c r="E195" s="8">
        <f>IFERROR(VLOOKUP(B195,'Runner List'!$B$3:$O$505,7,FALSE),0)</f>
        <v>0</v>
      </c>
      <c r="F195" s="8">
        <f>IFERROR(VLOOKUP(B195,'Runner List'!$B$3:$O$505,8,FALSE),0)</f>
        <v>0</v>
      </c>
      <c r="G195" s="8">
        <f>IFERROR(VLOOKUP(B195,'Runner List'!$B$3:$O$505,9,FALSE),0)</f>
        <v>0</v>
      </c>
      <c r="H195" s="8">
        <f>IFERROR(VLOOKUP(B195,'Runner List'!$B$3:$O$505,10,FALSE),0)</f>
        <v>0</v>
      </c>
      <c r="I195" s="109">
        <f>IFERROR(VLOOKUP(B195,'Runner List'!$B$3:$O$505,12,FALSE),0)</f>
        <v>0</v>
      </c>
    </row>
    <row r="196" spans="1:9" ht="36" customHeight="1">
      <c r="A196" s="8">
        <v>193</v>
      </c>
      <c r="B196" s="49"/>
      <c r="C196" s="10">
        <f>IFERROR(VLOOKUP(B196,'Runner List'!$B$3:$O$505,5,FALSE),0)</f>
        <v>0</v>
      </c>
      <c r="D196" s="8">
        <f>IFERROR(VLOOKUP(B196,'Runner List'!$B$3:$O$505,6,FALSE),0)</f>
        <v>0</v>
      </c>
      <c r="E196" s="8">
        <f>IFERROR(VLOOKUP(B196,'Runner List'!$B$3:$O$505,7,FALSE),0)</f>
        <v>0</v>
      </c>
      <c r="F196" s="8">
        <f>IFERROR(VLOOKUP(B196,'Runner List'!$B$3:$O$505,8,FALSE),0)</f>
        <v>0</v>
      </c>
      <c r="G196" s="8">
        <f>IFERROR(VLOOKUP(B196,'Runner List'!$B$3:$O$505,9,FALSE),0)</f>
        <v>0</v>
      </c>
      <c r="H196" s="8">
        <f>IFERROR(VLOOKUP(B196,'Runner List'!$B$3:$O$505,10,FALSE),0)</f>
        <v>0</v>
      </c>
      <c r="I196" s="109">
        <f>IFERROR(VLOOKUP(B196,'Runner List'!$B$3:$O$505,12,FALSE),0)</f>
        <v>0</v>
      </c>
    </row>
    <row r="197" spans="1:9" ht="36" customHeight="1">
      <c r="A197" s="8">
        <v>194</v>
      </c>
      <c r="B197" s="49"/>
      <c r="C197" s="10">
        <f>IFERROR(VLOOKUP(B197,'Runner List'!$B$3:$O$505,5,FALSE),0)</f>
        <v>0</v>
      </c>
      <c r="D197" s="8">
        <f>IFERROR(VLOOKUP(B197,'Runner List'!$B$3:$O$505,6,FALSE),0)</f>
        <v>0</v>
      </c>
      <c r="E197" s="8">
        <f>IFERROR(VLOOKUP(B197,'Runner List'!$B$3:$O$505,7,FALSE),0)</f>
        <v>0</v>
      </c>
      <c r="F197" s="8">
        <f>IFERROR(VLOOKUP(B197,'Runner List'!$B$3:$O$505,8,FALSE),0)</f>
        <v>0</v>
      </c>
      <c r="G197" s="8">
        <f>IFERROR(VLOOKUP(B197,'Runner List'!$B$3:$O$505,9,FALSE),0)</f>
        <v>0</v>
      </c>
      <c r="H197" s="8">
        <f>IFERROR(VLOOKUP(B197,'Runner List'!$B$3:$O$505,10,FALSE),0)</f>
        <v>0</v>
      </c>
      <c r="I197" s="109">
        <f>IFERROR(VLOOKUP(B197,'Runner List'!$B$3:$O$505,12,FALSE),0)</f>
        <v>0</v>
      </c>
    </row>
    <row r="198" spans="1:9" ht="36" customHeight="1">
      <c r="A198" s="8">
        <v>195</v>
      </c>
      <c r="B198" s="49"/>
      <c r="C198" s="10">
        <f>IFERROR(VLOOKUP(B198,'Runner List'!$B$3:$O$505,5,FALSE),0)</f>
        <v>0</v>
      </c>
      <c r="D198" s="8">
        <f>IFERROR(VLOOKUP(B198,'Runner List'!$B$3:$O$505,6,FALSE),0)</f>
        <v>0</v>
      </c>
      <c r="E198" s="8">
        <f>IFERROR(VLOOKUP(B198,'Runner List'!$B$3:$O$505,7,FALSE),0)</f>
        <v>0</v>
      </c>
      <c r="F198" s="8">
        <f>IFERROR(VLOOKUP(B198,'Runner List'!$B$3:$O$505,8,FALSE),0)</f>
        <v>0</v>
      </c>
      <c r="G198" s="8">
        <f>IFERROR(VLOOKUP(B198,'Runner List'!$B$3:$O$505,9,FALSE),0)</f>
        <v>0</v>
      </c>
      <c r="H198" s="8">
        <f>IFERROR(VLOOKUP(B198,'Runner List'!$B$3:$O$505,10,FALSE),0)</f>
        <v>0</v>
      </c>
      <c r="I198" s="109">
        <f>IFERROR(VLOOKUP(B198,'Runner List'!$B$3:$O$505,12,FALSE),0)</f>
        <v>0</v>
      </c>
    </row>
    <row r="199" spans="1:9" ht="36" customHeight="1">
      <c r="A199" s="8">
        <v>196</v>
      </c>
      <c r="B199" s="49"/>
      <c r="C199" s="10">
        <f>IFERROR(VLOOKUP(B199,'Runner List'!$B$3:$O$505,5,FALSE),0)</f>
        <v>0</v>
      </c>
      <c r="D199" s="8">
        <f>IFERROR(VLOOKUP(B199,'Runner List'!$B$3:$O$505,6,FALSE),0)</f>
        <v>0</v>
      </c>
      <c r="E199" s="8">
        <f>IFERROR(VLOOKUP(B199,'Runner List'!$B$3:$O$505,7,FALSE),0)</f>
        <v>0</v>
      </c>
      <c r="F199" s="8">
        <f>IFERROR(VLOOKUP(B199,'Runner List'!$B$3:$O$505,8,FALSE),0)</f>
        <v>0</v>
      </c>
      <c r="G199" s="8">
        <f>IFERROR(VLOOKUP(B199,'Runner List'!$B$3:$O$505,9,FALSE),0)</f>
        <v>0</v>
      </c>
      <c r="H199" s="8">
        <f>IFERROR(VLOOKUP(B199,'Runner List'!$B$3:$O$505,10,FALSE),0)</f>
        <v>0</v>
      </c>
      <c r="I199" s="109">
        <f>IFERROR(VLOOKUP(B199,'Runner List'!$B$3:$O$505,12,FALSE),0)</f>
        <v>0</v>
      </c>
    </row>
    <row r="200" spans="1:9" ht="36" customHeight="1">
      <c r="A200" s="8">
        <v>197</v>
      </c>
      <c r="B200" s="49"/>
      <c r="C200" s="10">
        <f>IFERROR(VLOOKUP(B200,'Runner List'!$B$3:$O$505,5,FALSE),0)</f>
        <v>0</v>
      </c>
      <c r="D200" s="8">
        <f>IFERROR(VLOOKUP(B200,'Runner List'!$B$3:$O$505,6,FALSE),0)</f>
        <v>0</v>
      </c>
      <c r="E200" s="8">
        <f>IFERROR(VLOOKUP(B200,'Runner List'!$B$3:$O$505,7,FALSE),0)</f>
        <v>0</v>
      </c>
      <c r="F200" s="8">
        <f>IFERROR(VLOOKUP(B200,'Runner List'!$B$3:$O$505,8,FALSE),0)</f>
        <v>0</v>
      </c>
      <c r="G200" s="8">
        <f>IFERROR(VLOOKUP(B200,'Runner List'!$B$3:$O$505,9,FALSE),0)</f>
        <v>0</v>
      </c>
      <c r="H200" s="8">
        <f>IFERROR(VLOOKUP(B200,'Runner List'!$B$3:$O$505,10,FALSE),0)</f>
        <v>0</v>
      </c>
      <c r="I200" s="109">
        <f>IFERROR(VLOOKUP(B200,'Runner List'!$B$3:$O$505,12,FALSE),0)</f>
        <v>0</v>
      </c>
    </row>
    <row r="201" spans="1:9" ht="36" customHeight="1">
      <c r="A201" s="8">
        <v>198</v>
      </c>
      <c r="B201" s="49"/>
      <c r="C201" s="10">
        <f>IFERROR(VLOOKUP(B201,'Runner List'!$B$3:$O$505,5,FALSE),0)</f>
        <v>0</v>
      </c>
      <c r="D201" s="8">
        <f>IFERROR(VLOOKUP(B201,'Runner List'!$B$3:$O$505,6,FALSE),0)</f>
        <v>0</v>
      </c>
      <c r="E201" s="8">
        <f>IFERROR(VLOOKUP(B201,'Runner List'!$B$3:$O$505,7,FALSE),0)</f>
        <v>0</v>
      </c>
      <c r="F201" s="8">
        <f>IFERROR(VLOOKUP(B201,'Runner List'!$B$3:$O$505,8,FALSE),0)</f>
        <v>0</v>
      </c>
      <c r="G201" s="8">
        <f>IFERROR(VLOOKUP(B201,'Runner List'!$B$3:$O$505,9,FALSE),0)</f>
        <v>0</v>
      </c>
      <c r="H201" s="8">
        <f>IFERROR(VLOOKUP(B201,'Runner List'!$B$3:$O$505,10,FALSE),0)</f>
        <v>0</v>
      </c>
      <c r="I201" s="109">
        <f>IFERROR(VLOOKUP(B201,'Runner List'!$B$3:$O$505,12,FALSE),0)</f>
        <v>0</v>
      </c>
    </row>
    <row r="202" spans="1:9" ht="36" customHeight="1">
      <c r="A202" s="8">
        <v>199</v>
      </c>
      <c r="B202" s="49"/>
      <c r="C202" s="10">
        <f>IFERROR(VLOOKUP(B202,'Runner List'!$B$3:$O$505,5,FALSE),0)</f>
        <v>0</v>
      </c>
      <c r="D202" s="8">
        <f>IFERROR(VLOOKUP(B202,'Runner List'!$B$3:$O$505,6,FALSE),0)</f>
        <v>0</v>
      </c>
      <c r="E202" s="8">
        <f>IFERROR(VLOOKUP(B202,'Runner List'!$B$3:$O$505,7,FALSE),0)</f>
        <v>0</v>
      </c>
      <c r="F202" s="8">
        <f>IFERROR(VLOOKUP(B202,'Runner List'!$B$3:$O$505,8,FALSE),0)</f>
        <v>0</v>
      </c>
      <c r="G202" s="8">
        <f>IFERROR(VLOOKUP(B202,'Runner List'!$B$3:$O$505,9,FALSE),0)</f>
        <v>0</v>
      </c>
      <c r="H202" s="8">
        <f>IFERROR(VLOOKUP(B202,'Runner List'!$B$3:$O$505,10,FALSE),0)</f>
        <v>0</v>
      </c>
      <c r="I202" s="109">
        <f>IFERROR(VLOOKUP(B202,'Runner List'!$B$3:$O$505,12,FALSE),0)</f>
        <v>0</v>
      </c>
    </row>
    <row r="203" spans="1:9" ht="36" customHeight="1">
      <c r="A203" s="8">
        <v>200</v>
      </c>
      <c r="B203" s="49"/>
      <c r="C203" s="10">
        <f>IFERROR(VLOOKUP(B203,'Runner List'!$B$3:$O$505,5,FALSE),0)</f>
        <v>0</v>
      </c>
      <c r="D203" s="8">
        <f>IFERROR(VLOOKUP(B203,'Runner List'!$B$3:$O$505,6,FALSE),0)</f>
        <v>0</v>
      </c>
      <c r="E203" s="8">
        <f>IFERROR(VLOOKUP(B203,'Runner List'!$B$3:$O$505,7,FALSE),0)</f>
        <v>0</v>
      </c>
      <c r="F203" s="8">
        <f>IFERROR(VLOOKUP(B203,'Runner List'!$B$3:$O$505,8,FALSE),0)</f>
        <v>0</v>
      </c>
      <c r="G203" s="8">
        <f>IFERROR(VLOOKUP(B203,'Runner List'!$B$3:$O$505,9,FALSE),0)</f>
        <v>0</v>
      </c>
      <c r="H203" s="8">
        <f>IFERROR(VLOOKUP(B203,'Runner List'!$B$3:$O$505,10,FALSE),0)</f>
        <v>0</v>
      </c>
      <c r="I203" s="109">
        <f>IFERROR(VLOOKUP(B203,'Runner List'!$B$3:$O$505,12,FALSE),0)</f>
        <v>0</v>
      </c>
    </row>
  </sheetData>
  <conditionalFormatting sqref="P1:P11 P16:P1048576">
    <cfRule type="cellIs" dxfId="8" priority="2" operator="greaterThan">
      <formula>0</formula>
    </cfRule>
  </conditionalFormatting>
  <conditionalFormatting sqref="P4:P11">
    <cfRule type="cellIs" dxfId="7" priority="4" operator="greaterThan">
      <formula>1</formula>
    </cfRule>
  </conditionalFormatting>
  <conditionalFormatting sqref="U4:U11">
    <cfRule type="cellIs" dxfId="6" priority="1" operator="greaterThan">
      <formula>0</formula>
    </cfRule>
    <cfRule type="cellIs" dxfId="5" priority="3" operator="greaterThan">
      <formula>1</formula>
    </cfRule>
  </conditionalFormatting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02"/>
  <sheetViews>
    <sheetView showGridLines="0" zoomScale="80" zoomScaleNormal="80" zoomScaleSheetLayoutView="5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3" sqref="C3"/>
    </sheetView>
  </sheetViews>
  <sheetFormatPr defaultRowHeight="14.4"/>
  <cols>
    <col min="1" max="1" width="5.6640625" style="1" bestFit="1" customWidth="1"/>
    <col min="2" max="2" width="25.109375" style="1" customWidth="1"/>
    <col min="3" max="3" width="17.44140625" style="1" customWidth="1"/>
    <col min="4" max="4" width="24.109375" customWidth="1"/>
    <col min="5" max="5" width="27.44140625" customWidth="1"/>
    <col min="6" max="6" width="32.44140625" customWidth="1"/>
    <col min="7" max="7" width="24.109375" style="1" customWidth="1"/>
    <col min="8" max="8" width="12.6640625" customWidth="1"/>
    <col min="9" max="9" width="13.6640625" customWidth="1"/>
    <col min="10" max="10" width="16.6640625" customWidth="1"/>
    <col min="11" max="11" width="13.6640625" bestFit="1" customWidth="1"/>
    <col min="12" max="12" width="55.44140625" customWidth="1"/>
    <col min="13" max="13" width="13.88671875" bestFit="1" customWidth="1"/>
    <col min="14" max="15" width="13.88671875" customWidth="1"/>
    <col min="16" max="16" width="20.33203125" bestFit="1" customWidth="1"/>
    <col min="17" max="17" width="26.44140625" customWidth="1"/>
    <col min="18" max="18" width="11.5546875" bestFit="1" customWidth="1"/>
    <col min="19" max="19" width="12.88671875" bestFit="1" customWidth="1"/>
    <col min="21" max="21" width="21.5546875" bestFit="1" customWidth="1"/>
    <col min="22" max="22" width="13.109375" bestFit="1" customWidth="1"/>
    <col min="23" max="23" width="11" bestFit="1" customWidth="1"/>
    <col min="25" max="25" width="10.109375" bestFit="1" customWidth="1"/>
    <col min="26" max="26" width="21.44140625" bestFit="1" customWidth="1"/>
    <col min="27" max="27" width="13.109375" bestFit="1" customWidth="1"/>
    <col min="28" max="28" width="11" bestFit="1" customWidth="1"/>
    <col min="32" max="32" width="10.6640625" bestFit="1" customWidth="1"/>
  </cols>
  <sheetData>
    <row r="1" spans="1:36" s="33" customFormat="1" ht="29.4" thickBot="1">
      <c r="A1" s="87" t="s">
        <v>4</v>
      </c>
      <c r="B1" s="88" t="s">
        <v>51</v>
      </c>
      <c r="C1" s="87" t="s">
        <v>21</v>
      </c>
      <c r="D1" s="87" t="s">
        <v>56</v>
      </c>
      <c r="E1" s="82" t="s">
        <v>5</v>
      </c>
      <c r="F1" s="89" t="s">
        <v>48</v>
      </c>
      <c r="G1" s="89" t="s">
        <v>25</v>
      </c>
      <c r="H1" s="90" t="s">
        <v>49</v>
      </c>
      <c r="I1" s="90" t="s">
        <v>6</v>
      </c>
      <c r="J1" s="90" t="s">
        <v>50</v>
      </c>
      <c r="K1" s="90" t="s">
        <v>30</v>
      </c>
      <c r="L1" s="221" t="s">
        <v>52</v>
      </c>
      <c r="M1" s="221" t="s">
        <v>40</v>
      </c>
      <c r="N1" s="96" t="s">
        <v>53</v>
      </c>
      <c r="O1" s="97"/>
      <c r="P1" s="92" t="s">
        <v>29</v>
      </c>
      <c r="Q1" s="92" t="s">
        <v>22</v>
      </c>
      <c r="R1" s="18"/>
      <c r="S1" s="18"/>
      <c r="U1" s="166" t="s">
        <v>292</v>
      </c>
      <c r="V1" s="4"/>
      <c r="W1" s="4"/>
      <c r="X1" s="4"/>
      <c r="Y1" s="4"/>
      <c r="Z1" s="4"/>
      <c r="AA1" s="4"/>
      <c r="AB1" s="4"/>
      <c r="AC1" s="4"/>
      <c r="AD1" s="130"/>
      <c r="AE1" s="131"/>
      <c r="AF1" s="131"/>
      <c r="AH1" s="132"/>
      <c r="AI1" s="133"/>
      <c r="AJ1" s="133"/>
    </row>
    <row r="2" spans="1:36" s="95" customFormat="1" ht="16.95" customHeight="1">
      <c r="A2" s="83" t="s">
        <v>0</v>
      </c>
      <c r="B2" s="84" t="s">
        <v>2</v>
      </c>
      <c r="C2" s="83" t="s">
        <v>47</v>
      </c>
      <c r="D2" s="83" t="s">
        <v>19</v>
      </c>
      <c r="E2" s="93" t="s">
        <v>39</v>
      </c>
      <c r="F2" s="85" t="s">
        <v>39</v>
      </c>
      <c r="G2" s="85" t="s">
        <v>26</v>
      </c>
      <c r="H2" s="86" t="s">
        <v>1</v>
      </c>
      <c r="I2" s="86" t="s">
        <v>7</v>
      </c>
      <c r="J2" s="86" t="s">
        <v>24</v>
      </c>
      <c r="K2" s="86" t="s">
        <v>31</v>
      </c>
      <c r="L2" s="222"/>
      <c r="M2" s="222"/>
      <c r="N2" s="98" t="s">
        <v>55</v>
      </c>
      <c r="O2" s="98" t="s">
        <v>54</v>
      </c>
      <c r="P2" s="91"/>
      <c r="Q2" s="91"/>
      <c r="R2" s="94"/>
      <c r="S2" s="94"/>
      <c r="U2" s="167"/>
      <c r="V2" s="168"/>
      <c r="W2" s="168"/>
      <c r="X2" s="169"/>
      <c r="Y2" s="12"/>
      <c r="Z2" s="174"/>
      <c r="AA2" s="175"/>
      <c r="AB2" s="175"/>
      <c r="AC2" s="176"/>
      <c r="AD2" s="130"/>
      <c r="AE2" s="130"/>
      <c r="AF2" s="130"/>
      <c r="AH2" s="132"/>
      <c r="AI2" s="132"/>
      <c r="AJ2" s="132"/>
    </row>
    <row r="3" spans="1:36" ht="44.4" thickBot="1">
      <c r="A3" s="3">
        <v>1</v>
      </c>
      <c r="B3" s="56">
        <v>3315</v>
      </c>
      <c r="C3" s="101" t="str">
        <f>"*"&amp;B3&amp;"*"</f>
        <v>*3315*</v>
      </c>
      <c r="D3" s="38" t="s">
        <v>57</v>
      </c>
      <c r="E3" s="38" t="s">
        <v>61</v>
      </c>
      <c r="F3" s="38" t="str">
        <f t="shared" ref="F3:F67" si="0">UPPER(E3)</f>
        <v>SUCHAT PLEESUDJAI</v>
      </c>
      <c r="G3" s="113" t="s">
        <v>128</v>
      </c>
      <c r="H3" s="113" t="s">
        <v>277</v>
      </c>
      <c r="I3" s="113" t="s">
        <v>197</v>
      </c>
      <c r="J3" s="113" t="s">
        <v>20</v>
      </c>
      <c r="K3" s="113" t="s">
        <v>205</v>
      </c>
      <c r="L3" s="38"/>
      <c r="M3" s="110">
        <v>0.22916666666666666</v>
      </c>
      <c r="N3" s="113"/>
      <c r="O3" s="113"/>
      <c r="P3" s="38"/>
      <c r="Q3" s="114"/>
      <c r="R3" s="115" t="s">
        <v>206</v>
      </c>
      <c r="S3" s="115" t="s">
        <v>207</v>
      </c>
      <c r="U3" s="170" t="s">
        <v>205</v>
      </c>
      <c r="V3" s="171">
        <f>COUNTIF($K$3:$K$205,"MKT33")</f>
        <v>86</v>
      </c>
      <c r="W3" s="172"/>
      <c r="X3" s="173"/>
      <c r="Y3" s="69"/>
      <c r="Z3" s="177" t="s">
        <v>46</v>
      </c>
      <c r="AA3" s="178">
        <f>COUNTIF($K$3:$K$205,"MKT50")</f>
        <v>35</v>
      </c>
      <c r="AB3" s="179"/>
      <c r="AC3" s="180"/>
      <c r="AD3" s="134"/>
      <c r="AE3" s="134"/>
      <c r="AF3" s="134"/>
      <c r="AG3" s="135"/>
      <c r="AH3" s="136"/>
      <c r="AI3" s="136"/>
      <c r="AJ3" s="136"/>
    </row>
    <row r="4" spans="1:36" ht="43.8">
      <c r="A4" s="3">
        <v>2</v>
      </c>
      <c r="B4" s="56">
        <v>3316</v>
      </c>
      <c r="C4" s="101" t="str">
        <f t="shared" ref="C4:C67" si="1">"*"&amp;B4&amp;"*"</f>
        <v>*3316*</v>
      </c>
      <c r="D4" s="38" t="s">
        <v>57</v>
      </c>
      <c r="E4" s="38" t="s">
        <v>62</v>
      </c>
      <c r="F4" s="38" t="str">
        <f t="shared" si="0"/>
        <v>NIPON PATCHARASATID</v>
      </c>
      <c r="G4" s="113" t="s">
        <v>129</v>
      </c>
      <c r="H4" s="113" t="s">
        <v>277</v>
      </c>
      <c r="I4" s="113" t="s">
        <v>196</v>
      </c>
      <c r="J4" s="113" t="s">
        <v>20</v>
      </c>
      <c r="K4" s="113" t="s">
        <v>205</v>
      </c>
      <c r="L4" s="38"/>
      <c r="M4" s="110">
        <v>0.22916666666666666</v>
      </c>
      <c r="N4" s="38"/>
      <c r="O4" s="38"/>
      <c r="P4" s="38"/>
      <c r="Q4" s="114"/>
      <c r="R4" s="116" t="s">
        <v>206</v>
      </c>
      <c r="S4" s="116" t="s">
        <v>207</v>
      </c>
      <c r="U4" s="151" t="s">
        <v>277</v>
      </c>
      <c r="V4" s="152">
        <f>COUNTIFS($K$3:$K$204,"MKT33",$H$3:$H$204,"Male")</f>
        <v>52</v>
      </c>
      <c r="W4" s="153" t="s">
        <v>198</v>
      </c>
      <c r="X4" s="154">
        <f>COUNTIFS($K$3:$K$205,"MKT33",$H$3:$H$205,"Male",$I$3:$I$205,"20-39")</f>
        <v>21</v>
      </c>
      <c r="Z4" s="165" t="s">
        <v>277</v>
      </c>
      <c r="AA4" s="152">
        <f>COUNTIFS($K$3:$K$205,"MKT50",$H$3:$H$205,"Male")</f>
        <v>25</v>
      </c>
      <c r="AB4" s="153" t="s">
        <v>198</v>
      </c>
      <c r="AC4" s="154">
        <f>COUNTIFS($K$3:$K$205,"MKT50",$H$3:$H$205,"Male",$I$3:$I$205,"20-39")</f>
        <v>3</v>
      </c>
    </row>
    <row r="5" spans="1:36" ht="40.799999999999997">
      <c r="A5" s="3">
        <v>3</v>
      </c>
      <c r="B5" s="56">
        <v>3317</v>
      </c>
      <c r="C5" s="101" t="str">
        <f t="shared" si="1"/>
        <v>*3317*</v>
      </c>
      <c r="D5" s="38" t="s">
        <v>57</v>
      </c>
      <c r="E5" s="117" t="s">
        <v>63</v>
      </c>
      <c r="F5" s="38" t="str">
        <f t="shared" si="0"/>
        <v>PRAYAT JIT-AREE</v>
      </c>
      <c r="G5" s="113" t="s">
        <v>130</v>
      </c>
      <c r="H5" s="113" t="s">
        <v>277</v>
      </c>
      <c r="I5" s="113" t="s">
        <v>197</v>
      </c>
      <c r="J5" s="113" t="s">
        <v>20</v>
      </c>
      <c r="K5" s="113" t="s">
        <v>205</v>
      </c>
      <c r="L5" s="38"/>
      <c r="M5" s="110">
        <v>0.22916666666666666</v>
      </c>
      <c r="N5" s="110"/>
      <c r="O5" s="110"/>
      <c r="P5" s="38"/>
      <c r="Q5" s="114"/>
      <c r="R5" s="116" t="s">
        <v>208</v>
      </c>
      <c r="S5" s="116" t="s">
        <v>207</v>
      </c>
      <c r="U5" s="155"/>
      <c r="V5" s="147"/>
      <c r="W5" s="148" t="s">
        <v>196</v>
      </c>
      <c r="X5" s="156">
        <f>COUNTIFS($K$3:$K$205,"MKT33",$H$3:$H$205,"Male",$I$3:$I$205,"40-49")</f>
        <v>16</v>
      </c>
      <c r="Z5" s="162"/>
      <c r="AA5" s="147"/>
      <c r="AB5" s="148" t="s">
        <v>196</v>
      </c>
      <c r="AC5" s="156">
        <f>COUNTIFS($K$3:$K$205,"MKT50",$H$3:$H$205,"Male",$I$3:$I$205,"40-49")</f>
        <v>14</v>
      </c>
    </row>
    <row r="6" spans="1:36" ht="40.799999999999997">
      <c r="A6" s="3">
        <v>4</v>
      </c>
      <c r="B6" s="56">
        <v>3318</v>
      </c>
      <c r="C6" s="101" t="str">
        <f t="shared" si="1"/>
        <v>*3318*</v>
      </c>
      <c r="D6" s="38" t="s">
        <v>58</v>
      </c>
      <c r="E6" s="117" t="s">
        <v>64</v>
      </c>
      <c r="F6" s="38" t="str">
        <f t="shared" si="0"/>
        <v>THIRAMAD THANETJINDARAT</v>
      </c>
      <c r="G6" s="113" t="s">
        <v>131</v>
      </c>
      <c r="H6" s="113" t="s">
        <v>278</v>
      </c>
      <c r="I6" s="113" t="s">
        <v>196</v>
      </c>
      <c r="J6" s="113" t="s">
        <v>20</v>
      </c>
      <c r="K6" s="113" t="s">
        <v>205</v>
      </c>
      <c r="L6" s="38"/>
      <c r="M6" s="110">
        <v>0.22916666666666666</v>
      </c>
      <c r="N6" s="110"/>
      <c r="O6" s="110"/>
      <c r="P6" s="38"/>
      <c r="Q6" s="114"/>
      <c r="R6" s="116" t="s">
        <v>206</v>
      </c>
      <c r="S6" s="116" t="s">
        <v>209</v>
      </c>
      <c r="U6" s="155"/>
      <c r="V6" s="147"/>
      <c r="W6" s="148" t="s">
        <v>197</v>
      </c>
      <c r="X6" s="156">
        <f>COUNTIFS($K$3:$K$205,"MKT33",$H$3:$H$205,"Male",$I$3:$I$205,"50-59")</f>
        <v>12</v>
      </c>
      <c r="Z6" s="162"/>
      <c r="AA6" s="147"/>
      <c r="AB6" s="148" t="s">
        <v>197</v>
      </c>
      <c r="AC6" s="156">
        <f>COUNTIFS($K$3:$K$205,"MKT50",$H$3:$H$205,"Male",$I$3:$I$205,"50-59")</f>
        <v>5</v>
      </c>
    </row>
    <row r="7" spans="1:36" ht="41.4" thickBot="1">
      <c r="A7" s="3">
        <v>5</v>
      </c>
      <c r="B7" s="56">
        <v>3319</v>
      </c>
      <c r="C7" s="101" t="str">
        <f t="shared" si="1"/>
        <v>*3319*</v>
      </c>
      <c r="D7" s="38" t="s">
        <v>57</v>
      </c>
      <c r="E7" s="117" t="s">
        <v>65</v>
      </c>
      <c r="F7" s="38" t="str">
        <f t="shared" si="0"/>
        <v>MONTRI THANETJINDARAT</v>
      </c>
      <c r="G7" s="113" t="s">
        <v>132</v>
      </c>
      <c r="H7" s="113" t="s">
        <v>277</v>
      </c>
      <c r="I7" s="113" t="s">
        <v>197</v>
      </c>
      <c r="J7" s="113" t="s">
        <v>20</v>
      </c>
      <c r="K7" s="113" t="s">
        <v>205</v>
      </c>
      <c r="L7" s="38"/>
      <c r="M7" s="110">
        <v>0.22916666666666666</v>
      </c>
      <c r="N7" s="110"/>
      <c r="O7" s="110"/>
      <c r="P7" s="38"/>
      <c r="Q7" s="114"/>
      <c r="R7" s="116" t="s">
        <v>208</v>
      </c>
      <c r="S7" s="116" t="s">
        <v>209</v>
      </c>
      <c r="U7" s="157"/>
      <c r="V7" s="158"/>
      <c r="W7" s="159" t="s">
        <v>274</v>
      </c>
      <c r="X7" s="160">
        <f>COUNTIFS($K$3:$K$205,"MKT33",$H$3:$H$205,"Male",$I$3:$I$205,"60 Plus")</f>
        <v>3</v>
      </c>
      <c r="Z7" s="163"/>
      <c r="AA7" s="158"/>
      <c r="AB7" s="159" t="s">
        <v>274</v>
      </c>
      <c r="AC7" s="160">
        <f>COUNTIFS($K$3:$K$205,"MKT50",$H$3:$H$205,"Male",$I$3:$I$205,"60 Plus")</f>
        <v>3</v>
      </c>
    </row>
    <row r="8" spans="1:36" ht="43.8">
      <c r="A8" s="3">
        <v>6</v>
      </c>
      <c r="B8" s="56">
        <v>3320</v>
      </c>
      <c r="C8" s="101" t="str">
        <f t="shared" si="1"/>
        <v>*3320*</v>
      </c>
      <c r="D8" s="38" t="s">
        <v>57</v>
      </c>
      <c r="E8" s="117" t="s">
        <v>66</v>
      </c>
      <c r="F8" s="38" t="str">
        <f t="shared" si="0"/>
        <v>VATCHARA PUMNOI</v>
      </c>
      <c r="G8" s="113" t="s">
        <v>133</v>
      </c>
      <c r="H8" s="113" t="s">
        <v>277</v>
      </c>
      <c r="I8" s="113" t="s">
        <v>197</v>
      </c>
      <c r="J8" s="113" t="s">
        <v>20</v>
      </c>
      <c r="K8" s="113" t="s">
        <v>205</v>
      </c>
      <c r="L8" s="38"/>
      <c r="M8" s="110">
        <v>0.22916666666666666</v>
      </c>
      <c r="N8" s="110"/>
      <c r="O8" s="110"/>
      <c r="P8" s="38"/>
      <c r="Q8" s="114"/>
      <c r="R8" s="116" t="s">
        <v>206</v>
      </c>
      <c r="S8" s="116" t="s">
        <v>209</v>
      </c>
      <c r="U8" s="161" t="s">
        <v>278</v>
      </c>
      <c r="V8" s="152">
        <f>COUNTIFS($K$3:$K$205,"MKT33",$H$3:$H$205,"Female")</f>
        <v>30</v>
      </c>
      <c r="W8" s="153" t="s">
        <v>198</v>
      </c>
      <c r="X8" s="154">
        <f>COUNTIFS($K$3:$K$205,"MKT33",$H$3:$H$205,"Female",$I$3:$I$205,"20-39")</f>
        <v>15</v>
      </c>
      <c r="Z8" s="165" t="s">
        <v>278</v>
      </c>
      <c r="AA8" s="152">
        <f>COUNTIFS($K$3:$K$205,"MKT50",$H$3:$H$205,"Female")</f>
        <v>9</v>
      </c>
      <c r="AB8" s="153" t="s">
        <v>198</v>
      </c>
      <c r="AC8" s="154">
        <f>COUNTIFS($K$3:$K$205,"MKT50",$H$3:$H$205,"Female",$I$3:$I$205,"20-39")</f>
        <v>0</v>
      </c>
    </row>
    <row r="9" spans="1:36" ht="40.799999999999997">
      <c r="A9" s="3">
        <v>7</v>
      </c>
      <c r="B9" s="56">
        <v>3321</v>
      </c>
      <c r="C9" s="101" t="str">
        <f t="shared" si="1"/>
        <v>*3321*</v>
      </c>
      <c r="D9" s="38" t="s">
        <v>58</v>
      </c>
      <c r="E9" s="117" t="s">
        <v>67</v>
      </c>
      <c r="F9" s="38" t="str">
        <f t="shared" si="0"/>
        <v>KHAMNONG SEEDA</v>
      </c>
      <c r="G9" s="113" t="s">
        <v>134</v>
      </c>
      <c r="H9" s="113" t="s">
        <v>278</v>
      </c>
      <c r="I9" s="113" t="s">
        <v>198</v>
      </c>
      <c r="J9" s="113" t="s">
        <v>20</v>
      </c>
      <c r="K9" s="113" t="s">
        <v>205</v>
      </c>
      <c r="L9" s="38"/>
      <c r="M9" s="110">
        <v>0.22916666666666666</v>
      </c>
      <c r="N9" s="38"/>
      <c r="O9" s="38"/>
      <c r="P9" s="38"/>
      <c r="Q9" s="114"/>
      <c r="R9" s="116" t="s">
        <v>208</v>
      </c>
      <c r="S9" s="116" t="s">
        <v>210</v>
      </c>
      <c r="U9" s="162"/>
      <c r="V9" s="147"/>
      <c r="W9" s="148" t="s">
        <v>196</v>
      </c>
      <c r="X9" s="156">
        <f>COUNTIFS($K$3:$K$205,"MKT33",$H$3:$H$205,"Female",$I$3:$I$205,"40-49")</f>
        <v>9</v>
      </c>
      <c r="Z9" s="162"/>
      <c r="AA9" s="147"/>
      <c r="AB9" s="148" t="s">
        <v>196</v>
      </c>
      <c r="AC9" s="156">
        <f>COUNTIFS($K$3:$K$205,"MKT50",$H$3:$H$205,"Female",$I$3:$I$205,"40-49")</f>
        <v>3</v>
      </c>
    </row>
    <row r="10" spans="1:36" ht="40.799999999999997">
      <c r="A10" s="3">
        <v>8</v>
      </c>
      <c r="B10" s="56">
        <v>3322</v>
      </c>
      <c r="C10" s="101" t="str">
        <f t="shared" si="1"/>
        <v>*3322*</v>
      </c>
      <c r="D10" s="38" t="s">
        <v>57</v>
      </c>
      <c r="E10" s="117" t="s">
        <v>68</v>
      </c>
      <c r="F10" s="38" t="str">
        <f t="shared" si="0"/>
        <v>TEERAPONG TUMMAPAN</v>
      </c>
      <c r="G10" s="113" t="s">
        <v>135</v>
      </c>
      <c r="H10" s="113" t="s">
        <v>277</v>
      </c>
      <c r="I10" s="113" t="s">
        <v>198</v>
      </c>
      <c r="J10" s="113" t="s">
        <v>20</v>
      </c>
      <c r="K10" s="113" t="s">
        <v>205</v>
      </c>
      <c r="L10" s="38"/>
      <c r="M10" s="110">
        <v>0.22916666666666666</v>
      </c>
      <c r="N10" s="38"/>
      <c r="O10" s="38"/>
      <c r="P10" s="38"/>
      <c r="Q10" s="114"/>
      <c r="R10" s="116" t="s">
        <v>208</v>
      </c>
      <c r="S10" s="116" t="s">
        <v>211</v>
      </c>
      <c r="U10" s="162"/>
      <c r="V10" s="147"/>
      <c r="W10" s="148" t="s">
        <v>197</v>
      </c>
      <c r="X10" s="156">
        <f>COUNTIFS($K$3:$K$205,"MKT33",$H$3:$H$205,"Female",$I$3:$I$205,"50-59")</f>
        <v>4</v>
      </c>
      <c r="Z10" s="162"/>
      <c r="AA10" s="147"/>
      <c r="AB10" s="148" t="s">
        <v>197</v>
      </c>
      <c r="AC10" s="156">
        <f>COUNTIFS($K$3:$K$205,"MKT50",$H$3:$H$205,"Female",$I$3:$I$205,"50-59")</f>
        <v>5</v>
      </c>
    </row>
    <row r="11" spans="1:36" ht="41.4" thickBot="1">
      <c r="A11" s="3">
        <v>9</v>
      </c>
      <c r="B11" s="56">
        <v>3323</v>
      </c>
      <c r="C11" s="101" t="str">
        <f t="shared" si="1"/>
        <v>*3323*</v>
      </c>
      <c r="D11" s="38" t="s">
        <v>57</v>
      </c>
      <c r="E11" s="117" t="s">
        <v>69</v>
      </c>
      <c r="F11" s="38" t="str">
        <f t="shared" si="0"/>
        <v>PEAMSOOK KUNTASEEMA</v>
      </c>
      <c r="G11" s="113" t="s">
        <v>136</v>
      </c>
      <c r="H11" s="113" t="s">
        <v>277</v>
      </c>
      <c r="I11" s="113" t="s">
        <v>198</v>
      </c>
      <c r="J11" s="113" t="s">
        <v>20</v>
      </c>
      <c r="K11" s="113" t="s">
        <v>205</v>
      </c>
      <c r="L11" s="38"/>
      <c r="M11" s="110">
        <v>0.22916666666666666</v>
      </c>
      <c r="N11" s="38"/>
      <c r="O11" s="38"/>
      <c r="P11" s="38"/>
      <c r="Q11" s="114"/>
      <c r="R11" s="116" t="s">
        <v>206</v>
      </c>
      <c r="S11" s="116" t="s">
        <v>209</v>
      </c>
      <c r="U11" s="163"/>
      <c r="V11" s="158"/>
      <c r="W11" s="159" t="s">
        <v>274</v>
      </c>
      <c r="X11" s="160">
        <f>COUNTIFS($K$3:$K$205,"MKT33",$H$3:$H$205,"Female",$I$3:$I$205,"60 Plus")</f>
        <v>2</v>
      </c>
      <c r="Z11" s="163"/>
      <c r="AA11" s="158"/>
      <c r="AB11" s="159" t="s">
        <v>274</v>
      </c>
      <c r="AC11" s="160">
        <f>COUNTIFS($K$3:$K$205,"MKT50",$H$3:$H$205,"Female",$I$3:$I$205,"60 Plus")</f>
        <v>1</v>
      </c>
    </row>
    <row r="12" spans="1:36" ht="43.8">
      <c r="A12" s="3">
        <v>10</v>
      </c>
      <c r="B12" s="56">
        <v>3324</v>
      </c>
      <c r="C12" s="101" t="str">
        <f t="shared" si="1"/>
        <v>*3324*</v>
      </c>
      <c r="D12" s="38" t="s">
        <v>58</v>
      </c>
      <c r="E12" s="117" t="s">
        <v>70</v>
      </c>
      <c r="F12" s="38" t="str">
        <f t="shared" si="0"/>
        <v>NADHAKAN SHINNARANANTANA</v>
      </c>
      <c r="G12" s="118" t="s">
        <v>137</v>
      </c>
      <c r="H12" s="113" t="s">
        <v>278</v>
      </c>
      <c r="I12" s="113" t="s">
        <v>196</v>
      </c>
      <c r="J12" s="113" t="s">
        <v>20</v>
      </c>
      <c r="K12" s="113" t="s">
        <v>205</v>
      </c>
      <c r="L12" s="38"/>
      <c r="M12" s="110">
        <v>0.22916666666666666</v>
      </c>
      <c r="N12" s="38"/>
      <c r="O12" s="38"/>
      <c r="P12" s="38"/>
      <c r="Q12" s="114"/>
      <c r="R12" s="116" t="s">
        <v>206</v>
      </c>
      <c r="S12" s="116" t="s">
        <v>209</v>
      </c>
      <c r="U12" s="164" t="s">
        <v>279</v>
      </c>
      <c r="V12" s="152">
        <f>COUNTIFS($K$3:$K$205,"MKT33",$H$3:$H$205,"LGBTIQAN+")</f>
        <v>4</v>
      </c>
      <c r="W12" s="153" t="s">
        <v>198</v>
      </c>
      <c r="X12" s="154" t="s">
        <v>288</v>
      </c>
      <c r="Z12" s="165" t="s">
        <v>279</v>
      </c>
      <c r="AA12" s="152">
        <f>COUNTIFS($K$3:$K$205,"MKT50",$H$3:$H$205,"LGBTIQAN+")</f>
        <v>1</v>
      </c>
      <c r="AB12" s="153" t="s">
        <v>198</v>
      </c>
      <c r="AC12" s="154" t="s">
        <v>288</v>
      </c>
    </row>
    <row r="13" spans="1:36" ht="40.799999999999997">
      <c r="A13" s="3">
        <v>11</v>
      </c>
      <c r="B13" s="56">
        <v>3325</v>
      </c>
      <c r="C13" s="101" t="str">
        <f t="shared" si="1"/>
        <v>*3325*</v>
      </c>
      <c r="D13" s="38" t="s">
        <v>58</v>
      </c>
      <c r="E13" s="117" t="s">
        <v>71</v>
      </c>
      <c r="F13" s="38" t="str">
        <f t="shared" si="0"/>
        <v>DARANEE CHOTISTHAYANGURA</v>
      </c>
      <c r="G13" s="113" t="s">
        <v>138</v>
      </c>
      <c r="H13" s="113" t="s">
        <v>278</v>
      </c>
      <c r="I13" s="113" t="s">
        <v>197</v>
      </c>
      <c r="J13" s="113" t="s">
        <v>20</v>
      </c>
      <c r="K13" s="113" t="s">
        <v>205</v>
      </c>
      <c r="L13" s="38"/>
      <c r="M13" s="110">
        <v>0.22916666666666666</v>
      </c>
      <c r="N13" s="38"/>
      <c r="O13" s="38"/>
      <c r="P13" s="38"/>
      <c r="Q13" s="114"/>
      <c r="R13" s="116" t="s">
        <v>206</v>
      </c>
      <c r="S13" s="116" t="s">
        <v>212</v>
      </c>
      <c r="U13" s="162"/>
      <c r="V13" s="147"/>
      <c r="W13" s="148" t="s">
        <v>196</v>
      </c>
      <c r="X13" s="156" t="s">
        <v>288</v>
      </c>
      <c r="Z13" s="162"/>
      <c r="AA13" s="147"/>
      <c r="AB13" s="148" t="s">
        <v>196</v>
      </c>
      <c r="AC13" s="156" t="s">
        <v>288</v>
      </c>
    </row>
    <row r="14" spans="1:36" ht="40.799999999999997">
      <c r="A14" s="3">
        <v>12</v>
      </c>
      <c r="B14" s="56">
        <v>3326</v>
      </c>
      <c r="C14" s="101" t="str">
        <f t="shared" si="1"/>
        <v>*3326*</v>
      </c>
      <c r="D14" s="38" t="s">
        <v>58</v>
      </c>
      <c r="E14" s="117" t="s">
        <v>72</v>
      </c>
      <c r="F14" s="38" t="str">
        <f t="shared" si="0"/>
        <v>JANTHIMA CHOTISTHAYANGURA</v>
      </c>
      <c r="G14" s="113" t="s">
        <v>139</v>
      </c>
      <c r="H14" s="113" t="s">
        <v>278</v>
      </c>
      <c r="I14" s="113" t="s">
        <v>197</v>
      </c>
      <c r="J14" s="113" t="s">
        <v>20</v>
      </c>
      <c r="K14" s="113" t="s">
        <v>205</v>
      </c>
      <c r="L14" s="38"/>
      <c r="M14" s="110">
        <v>0.22916666666666666</v>
      </c>
      <c r="N14" s="38"/>
      <c r="O14" s="38"/>
      <c r="P14" s="38"/>
      <c r="Q14" s="114"/>
      <c r="R14" s="116" t="s">
        <v>206</v>
      </c>
      <c r="S14" s="116" t="s">
        <v>212</v>
      </c>
      <c r="U14" s="162"/>
      <c r="V14" s="147"/>
      <c r="W14" s="148" t="s">
        <v>197</v>
      </c>
      <c r="X14" s="156" t="s">
        <v>288</v>
      </c>
      <c r="Z14" s="162"/>
      <c r="AA14" s="147"/>
      <c r="AB14" s="148" t="s">
        <v>197</v>
      </c>
      <c r="AC14" s="156" t="s">
        <v>288</v>
      </c>
    </row>
    <row r="15" spans="1:36" ht="41.4" thickBot="1">
      <c r="A15" s="3">
        <v>13</v>
      </c>
      <c r="B15" s="56">
        <v>3327</v>
      </c>
      <c r="C15" s="101" t="str">
        <f t="shared" si="1"/>
        <v>*3327*</v>
      </c>
      <c r="D15" s="38" t="s">
        <v>58</v>
      </c>
      <c r="E15" s="117" t="s">
        <v>73</v>
      </c>
      <c r="F15" s="38" t="str">
        <f t="shared" si="0"/>
        <v>NONGLUCK SERMSUPT</v>
      </c>
      <c r="G15" s="113" t="s">
        <v>140</v>
      </c>
      <c r="H15" s="113" t="s">
        <v>278</v>
      </c>
      <c r="I15" s="113" t="s">
        <v>197</v>
      </c>
      <c r="J15" s="113" t="s">
        <v>20</v>
      </c>
      <c r="K15" s="113" t="s">
        <v>205</v>
      </c>
      <c r="L15" s="38"/>
      <c r="M15" s="110">
        <v>0.22916666666666666</v>
      </c>
      <c r="N15" s="38"/>
      <c r="O15" s="38"/>
      <c r="P15" s="38"/>
      <c r="Q15" s="114"/>
      <c r="R15" s="116" t="s">
        <v>208</v>
      </c>
      <c r="S15" s="116" t="s">
        <v>210</v>
      </c>
      <c r="U15" s="163"/>
      <c r="V15" s="158"/>
      <c r="W15" s="159" t="s">
        <v>274</v>
      </c>
      <c r="X15" s="160" t="s">
        <v>288</v>
      </c>
      <c r="Z15" s="163"/>
      <c r="AA15" s="158"/>
      <c r="AB15" s="159" t="s">
        <v>274</v>
      </c>
      <c r="AC15" s="160" t="s">
        <v>288</v>
      </c>
    </row>
    <row r="16" spans="1:36" ht="40.799999999999997">
      <c r="A16" s="3">
        <v>14</v>
      </c>
      <c r="B16" s="56">
        <v>3328</v>
      </c>
      <c r="C16" s="101" t="str">
        <f t="shared" si="1"/>
        <v>*3328*</v>
      </c>
      <c r="D16" s="38" t="s">
        <v>58</v>
      </c>
      <c r="E16" s="117" t="s">
        <v>74</v>
      </c>
      <c r="F16" s="38" t="str">
        <f t="shared" si="0"/>
        <v>PHAWINEE TIPHAWANG</v>
      </c>
      <c r="G16" s="113" t="s">
        <v>141</v>
      </c>
      <c r="H16" s="113" t="s">
        <v>278</v>
      </c>
      <c r="I16" s="113" t="s">
        <v>198</v>
      </c>
      <c r="J16" s="113" t="s">
        <v>20</v>
      </c>
      <c r="K16" s="113" t="s">
        <v>205</v>
      </c>
      <c r="L16" s="38"/>
      <c r="M16" s="110">
        <v>0.22916666666666666</v>
      </c>
      <c r="N16" s="38"/>
      <c r="O16" s="38"/>
      <c r="P16" s="38"/>
      <c r="Q16" s="114"/>
      <c r="R16" s="116" t="s">
        <v>208</v>
      </c>
      <c r="S16" s="116" t="s">
        <v>209</v>
      </c>
      <c r="V16" s="186">
        <f>SUM(V4:V15)</f>
        <v>86</v>
      </c>
      <c r="AA16" s="186">
        <f>SUM(AA4:AA15)</f>
        <v>35</v>
      </c>
    </row>
    <row r="17" spans="1:19" ht="40.799999999999997">
      <c r="A17" s="3">
        <v>15</v>
      </c>
      <c r="B17" s="56">
        <v>3329</v>
      </c>
      <c r="C17" s="101" t="str">
        <f t="shared" si="1"/>
        <v>*3329*</v>
      </c>
      <c r="D17" s="38" t="s">
        <v>57</v>
      </c>
      <c r="E17" s="117" t="s">
        <v>75</v>
      </c>
      <c r="F17" s="38" t="str">
        <f t="shared" si="0"/>
        <v>SETTHA PHAIKHAMNAM</v>
      </c>
      <c r="G17" s="113" t="s">
        <v>142</v>
      </c>
      <c r="H17" s="113" t="s">
        <v>277</v>
      </c>
      <c r="I17" s="113" t="s">
        <v>196</v>
      </c>
      <c r="J17" s="113" t="s">
        <v>20</v>
      </c>
      <c r="K17" s="113" t="s">
        <v>205</v>
      </c>
      <c r="L17" s="38"/>
      <c r="M17" s="110">
        <v>0.22916666666666666</v>
      </c>
      <c r="N17" s="38"/>
      <c r="O17" s="38"/>
      <c r="P17" s="38"/>
      <c r="Q17" s="119"/>
      <c r="R17" s="116" t="s">
        <v>208</v>
      </c>
      <c r="S17" s="116" t="s">
        <v>213</v>
      </c>
    </row>
    <row r="18" spans="1:19" ht="40.799999999999997">
      <c r="A18" s="3">
        <v>16</v>
      </c>
      <c r="B18" s="56">
        <v>3330</v>
      </c>
      <c r="C18" s="101" t="str">
        <f t="shared" si="1"/>
        <v>*3330*</v>
      </c>
      <c r="D18" s="38" t="s">
        <v>57</v>
      </c>
      <c r="E18" s="117" t="s">
        <v>76</v>
      </c>
      <c r="F18" s="38" t="str">
        <f t="shared" si="0"/>
        <v>NUTTAWUT SUPANURAT</v>
      </c>
      <c r="G18" s="113" t="s">
        <v>143</v>
      </c>
      <c r="H18" s="113" t="s">
        <v>277</v>
      </c>
      <c r="I18" s="113" t="s">
        <v>196</v>
      </c>
      <c r="J18" s="113" t="s">
        <v>20</v>
      </c>
      <c r="K18" s="113" t="s">
        <v>205</v>
      </c>
      <c r="L18" s="38"/>
      <c r="M18" s="110">
        <v>0.22916666666666666</v>
      </c>
      <c r="N18" s="38"/>
      <c r="O18" s="38"/>
      <c r="P18" s="38"/>
      <c r="Q18" s="114"/>
      <c r="R18" s="116" t="s">
        <v>206</v>
      </c>
      <c r="S18" s="116" t="s">
        <v>207</v>
      </c>
    </row>
    <row r="19" spans="1:19" ht="40.799999999999997">
      <c r="A19" s="3">
        <v>17</v>
      </c>
      <c r="B19" s="56">
        <v>3331</v>
      </c>
      <c r="C19" s="101" t="str">
        <f t="shared" si="1"/>
        <v>*3331*</v>
      </c>
      <c r="D19" s="38" t="s">
        <v>58</v>
      </c>
      <c r="E19" s="117" t="s">
        <v>77</v>
      </c>
      <c r="F19" s="38" t="str">
        <f t="shared" si="0"/>
        <v>PIYAMAD SOMPAMOON</v>
      </c>
      <c r="G19" s="113" t="s">
        <v>144</v>
      </c>
      <c r="H19" s="113" t="s">
        <v>278</v>
      </c>
      <c r="I19" s="113" t="s">
        <v>196</v>
      </c>
      <c r="J19" s="113" t="s">
        <v>20</v>
      </c>
      <c r="K19" s="113" t="s">
        <v>205</v>
      </c>
      <c r="L19" s="38"/>
      <c r="M19" s="110">
        <v>0.22916666666666666</v>
      </c>
      <c r="N19" s="38"/>
      <c r="O19" s="38"/>
      <c r="P19" s="38"/>
      <c r="Q19" s="114"/>
      <c r="R19" s="116"/>
      <c r="S19" s="116"/>
    </row>
    <row r="20" spans="1:19" ht="40.799999999999997">
      <c r="A20" s="3">
        <v>18</v>
      </c>
      <c r="B20" s="56">
        <v>3332</v>
      </c>
      <c r="C20" s="101" t="str">
        <f t="shared" si="1"/>
        <v>*3332*</v>
      </c>
      <c r="D20" s="38" t="s">
        <v>58</v>
      </c>
      <c r="E20" s="117" t="s">
        <v>78</v>
      </c>
      <c r="F20" s="38" t="str">
        <f t="shared" si="0"/>
        <v>NIPAWAN JAITANONG</v>
      </c>
      <c r="G20" s="113" t="s">
        <v>145</v>
      </c>
      <c r="H20" s="113" t="s">
        <v>278</v>
      </c>
      <c r="I20" s="113" t="s">
        <v>196</v>
      </c>
      <c r="J20" s="113" t="s">
        <v>20</v>
      </c>
      <c r="K20" s="113" t="s">
        <v>205</v>
      </c>
      <c r="L20" s="38"/>
      <c r="M20" s="110">
        <v>0.22916666666666666</v>
      </c>
      <c r="N20" s="38"/>
      <c r="O20" s="38"/>
      <c r="P20" s="38"/>
      <c r="Q20" s="119"/>
      <c r="R20" s="116" t="s">
        <v>208</v>
      </c>
      <c r="S20" s="116" t="s">
        <v>212</v>
      </c>
    </row>
    <row r="21" spans="1:19" ht="40.799999999999997">
      <c r="A21" s="3">
        <v>19</v>
      </c>
      <c r="B21" s="56">
        <v>3333</v>
      </c>
      <c r="C21" s="101" t="str">
        <f t="shared" si="1"/>
        <v>*3333*</v>
      </c>
      <c r="D21" s="38" t="s">
        <v>57</v>
      </c>
      <c r="E21" s="117" t="s">
        <v>79</v>
      </c>
      <c r="F21" s="38" t="str">
        <f t="shared" si="0"/>
        <v>SOMCHID KANTHAYA</v>
      </c>
      <c r="G21" s="120" t="s">
        <v>146</v>
      </c>
      <c r="H21" s="113" t="s">
        <v>277</v>
      </c>
      <c r="I21" s="113" t="s">
        <v>197</v>
      </c>
      <c r="J21" s="113" t="s">
        <v>20</v>
      </c>
      <c r="K21" s="113" t="s">
        <v>205</v>
      </c>
      <c r="L21" s="38"/>
      <c r="M21" s="110">
        <v>0.22916666666666666</v>
      </c>
      <c r="N21" s="38"/>
      <c r="O21" s="38"/>
      <c r="P21" s="38"/>
      <c r="Q21" s="114"/>
      <c r="R21" s="116" t="s">
        <v>208</v>
      </c>
      <c r="S21" s="116" t="s">
        <v>209</v>
      </c>
    </row>
    <row r="22" spans="1:19" ht="40.799999999999997">
      <c r="A22" s="3">
        <v>20</v>
      </c>
      <c r="B22" s="56">
        <v>3334</v>
      </c>
      <c r="C22" s="101" t="str">
        <f t="shared" si="1"/>
        <v>*3334*</v>
      </c>
      <c r="D22" s="38" t="s">
        <v>58</v>
      </c>
      <c r="E22" s="117" t="s">
        <v>80</v>
      </c>
      <c r="F22" s="38" t="str">
        <f t="shared" si="0"/>
        <v>KAMONRUT THONGRAK</v>
      </c>
      <c r="G22" s="113" t="s">
        <v>147</v>
      </c>
      <c r="H22" s="113" t="s">
        <v>278</v>
      </c>
      <c r="I22" s="113" t="s">
        <v>198</v>
      </c>
      <c r="J22" s="113" t="s">
        <v>20</v>
      </c>
      <c r="K22" s="113" t="s">
        <v>205</v>
      </c>
      <c r="L22" s="38"/>
      <c r="M22" s="110">
        <v>0.22916666666666666</v>
      </c>
      <c r="N22" s="38"/>
      <c r="O22" s="38"/>
      <c r="P22" s="38"/>
      <c r="Q22" s="114"/>
      <c r="R22" s="116" t="s">
        <v>208</v>
      </c>
      <c r="S22" s="116" t="s">
        <v>212</v>
      </c>
    </row>
    <row r="23" spans="1:19" ht="40.799999999999997">
      <c r="A23" s="3">
        <v>21</v>
      </c>
      <c r="B23" s="56">
        <v>3335</v>
      </c>
      <c r="C23" s="101" t="str">
        <f t="shared" si="1"/>
        <v>*3335*</v>
      </c>
      <c r="D23" s="38" t="s">
        <v>58</v>
      </c>
      <c r="E23" s="121" t="s">
        <v>81</v>
      </c>
      <c r="F23" s="38" t="str">
        <f t="shared" si="0"/>
        <v>SUDARAT TAOLAT</v>
      </c>
      <c r="G23" s="120" t="s">
        <v>148</v>
      </c>
      <c r="H23" s="113" t="s">
        <v>278</v>
      </c>
      <c r="I23" s="113" t="s">
        <v>198</v>
      </c>
      <c r="J23" s="113" t="s">
        <v>20</v>
      </c>
      <c r="K23" s="113" t="s">
        <v>205</v>
      </c>
      <c r="L23" s="38"/>
      <c r="M23" s="110">
        <v>0.22916666666666666</v>
      </c>
      <c r="N23" s="38"/>
      <c r="O23" s="38"/>
      <c r="P23" s="38"/>
      <c r="Q23" s="38"/>
      <c r="R23" s="116" t="s">
        <v>206</v>
      </c>
      <c r="S23" s="116" t="s">
        <v>212</v>
      </c>
    </row>
    <row r="24" spans="1:19" ht="40.799999999999997">
      <c r="A24" s="3">
        <v>22</v>
      </c>
      <c r="B24" s="56">
        <v>3336</v>
      </c>
      <c r="C24" s="101" t="str">
        <f t="shared" si="1"/>
        <v>*3336*</v>
      </c>
      <c r="D24" s="38" t="s">
        <v>57</v>
      </c>
      <c r="E24" s="117" t="s">
        <v>82</v>
      </c>
      <c r="F24" s="38" t="str">
        <f t="shared" si="0"/>
        <v>SUTHEP JIRAPATPONGSAKORN</v>
      </c>
      <c r="G24" s="113" t="s">
        <v>149</v>
      </c>
      <c r="H24" s="113" t="s">
        <v>277</v>
      </c>
      <c r="I24" s="113" t="s">
        <v>274</v>
      </c>
      <c r="J24" s="113" t="s">
        <v>20</v>
      </c>
      <c r="K24" s="113" t="s">
        <v>205</v>
      </c>
      <c r="L24" s="38"/>
      <c r="M24" s="110">
        <v>0.22916666666666666</v>
      </c>
      <c r="N24" s="38"/>
      <c r="O24" s="38"/>
      <c r="P24" s="38"/>
      <c r="Q24" s="114"/>
      <c r="R24" s="116" t="s">
        <v>208</v>
      </c>
      <c r="S24" s="116" t="s">
        <v>207</v>
      </c>
    </row>
    <row r="25" spans="1:19" ht="40.799999999999997">
      <c r="A25" s="3">
        <v>23</v>
      </c>
      <c r="B25" s="56">
        <v>3337</v>
      </c>
      <c r="C25" s="101" t="str">
        <f t="shared" si="1"/>
        <v>*3337*</v>
      </c>
      <c r="D25" s="38" t="s">
        <v>57</v>
      </c>
      <c r="E25" s="117" t="s">
        <v>337</v>
      </c>
      <c r="F25" s="38" t="str">
        <f t="shared" si="0"/>
        <v>CHAIRAT TEEKHASAENEE</v>
      </c>
      <c r="G25" s="113" t="s">
        <v>150</v>
      </c>
      <c r="H25" s="113" t="s">
        <v>277</v>
      </c>
      <c r="I25" s="113" t="s">
        <v>197</v>
      </c>
      <c r="J25" s="113" t="s">
        <v>20</v>
      </c>
      <c r="K25" s="113" t="s">
        <v>205</v>
      </c>
      <c r="L25" s="38"/>
      <c r="M25" s="110">
        <v>0.22916666666666666</v>
      </c>
      <c r="N25" s="38"/>
      <c r="O25" s="38"/>
      <c r="P25" s="38"/>
      <c r="Q25" s="114"/>
      <c r="R25" s="116" t="s">
        <v>208</v>
      </c>
      <c r="S25" s="116" t="s">
        <v>212</v>
      </c>
    </row>
    <row r="26" spans="1:19" ht="40.799999999999997">
      <c r="A26" s="3">
        <v>24</v>
      </c>
      <c r="B26" s="56">
        <v>3338</v>
      </c>
      <c r="C26" s="101" t="str">
        <f t="shared" si="1"/>
        <v>*3338*</v>
      </c>
      <c r="D26" s="38" t="s">
        <v>57</v>
      </c>
      <c r="E26" s="117" t="s">
        <v>83</v>
      </c>
      <c r="F26" s="38" t="str">
        <f t="shared" si="0"/>
        <v>PANUWAT BUAYOY</v>
      </c>
      <c r="G26" s="113" t="s">
        <v>151</v>
      </c>
      <c r="H26" s="113" t="s">
        <v>277</v>
      </c>
      <c r="I26" s="113" t="s">
        <v>198</v>
      </c>
      <c r="J26" s="113" t="s">
        <v>20</v>
      </c>
      <c r="K26" s="113" t="s">
        <v>205</v>
      </c>
      <c r="L26" s="38"/>
      <c r="M26" s="110">
        <v>0.22916666666666666</v>
      </c>
      <c r="N26" s="38"/>
      <c r="O26" s="38"/>
      <c r="P26" s="38"/>
      <c r="Q26" s="114"/>
      <c r="R26" s="116" t="s">
        <v>206</v>
      </c>
      <c r="S26" s="116" t="s">
        <v>211</v>
      </c>
    </row>
    <row r="27" spans="1:19" ht="40.799999999999997">
      <c r="A27" s="3">
        <v>25</v>
      </c>
      <c r="B27" s="56">
        <v>3339</v>
      </c>
      <c r="C27" s="101" t="str">
        <f t="shared" si="1"/>
        <v>*3339*</v>
      </c>
      <c r="D27" s="38" t="s">
        <v>58</v>
      </c>
      <c r="E27" s="117" t="s">
        <v>84</v>
      </c>
      <c r="F27" s="38" t="str">
        <f t="shared" si="0"/>
        <v>SIREETORN ARUNRUKTHAVON</v>
      </c>
      <c r="G27" s="113" t="s">
        <v>152</v>
      </c>
      <c r="H27" s="113" t="s">
        <v>278</v>
      </c>
      <c r="I27" s="113" t="s">
        <v>198</v>
      </c>
      <c r="J27" s="113" t="s">
        <v>20</v>
      </c>
      <c r="K27" s="113" t="s">
        <v>205</v>
      </c>
      <c r="L27" s="38"/>
      <c r="M27" s="110">
        <v>0.22916666666666666</v>
      </c>
      <c r="N27" s="38"/>
      <c r="O27" s="38"/>
      <c r="P27" s="38"/>
      <c r="Q27" s="114"/>
      <c r="R27" s="116" t="s">
        <v>208</v>
      </c>
      <c r="S27" s="116" t="s">
        <v>210</v>
      </c>
    </row>
    <row r="28" spans="1:19" ht="40.799999999999997">
      <c r="A28" s="3">
        <v>26</v>
      </c>
      <c r="B28" s="56">
        <v>3340</v>
      </c>
      <c r="C28" s="101" t="str">
        <f t="shared" si="1"/>
        <v>*3340*</v>
      </c>
      <c r="D28" s="38" t="s">
        <v>57</v>
      </c>
      <c r="E28" s="117" t="s">
        <v>85</v>
      </c>
      <c r="F28" s="38" t="str">
        <f t="shared" si="0"/>
        <v>BARAMEE NAVANOPPARATSKUL</v>
      </c>
      <c r="G28" s="113" t="s">
        <v>153</v>
      </c>
      <c r="H28" s="113" t="s">
        <v>277</v>
      </c>
      <c r="I28" s="113" t="s">
        <v>196</v>
      </c>
      <c r="J28" s="113" t="s">
        <v>20</v>
      </c>
      <c r="K28" s="113" t="s">
        <v>205</v>
      </c>
      <c r="L28" s="38"/>
      <c r="M28" s="110">
        <v>0.22916666666666666</v>
      </c>
      <c r="N28" s="38"/>
      <c r="O28" s="38"/>
      <c r="P28" s="38"/>
      <c r="Q28" s="114"/>
      <c r="R28" s="116" t="s">
        <v>208</v>
      </c>
      <c r="S28" s="116" t="s">
        <v>212</v>
      </c>
    </row>
    <row r="29" spans="1:19" ht="40.799999999999997">
      <c r="A29" s="3">
        <v>27</v>
      </c>
      <c r="B29" s="56">
        <v>3341</v>
      </c>
      <c r="C29" s="101" t="str">
        <f t="shared" si="1"/>
        <v>*3341*</v>
      </c>
      <c r="D29" s="38" t="s">
        <v>57</v>
      </c>
      <c r="E29" s="117" t="s">
        <v>86</v>
      </c>
      <c r="F29" s="38" t="str">
        <f t="shared" si="0"/>
        <v>KAMOL WATTANAPANICH</v>
      </c>
      <c r="G29" s="113" t="s">
        <v>154</v>
      </c>
      <c r="H29" s="113" t="s">
        <v>277</v>
      </c>
      <c r="I29" s="113" t="s">
        <v>197</v>
      </c>
      <c r="J29" s="113" t="s">
        <v>20</v>
      </c>
      <c r="K29" s="113" t="s">
        <v>205</v>
      </c>
      <c r="L29" s="38"/>
      <c r="M29" s="110">
        <v>0.22916666666666666</v>
      </c>
      <c r="N29" s="38"/>
      <c r="O29" s="38"/>
      <c r="P29" s="38"/>
      <c r="Q29" s="114"/>
      <c r="R29" s="116" t="s">
        <v>208</v>
      </c>
      <c r="S29" s="116" t="s">
        <v>209</v>
      </c>
    </row>
    <row r="30" spans="1:19" ht="40.799999999999997">
      <c r="A30" s="3">
        <v>28</v>
      </c>
      <c r="B30" s="56">
        <v>3342</v>
      </c>
      <c r="C30" s="101" t="str">
        <f t="shared" si="1"/>
        <v>*3342*</v>
      </c>
      <c r="D30" s="38" t="s">
        <v>57</v>
      </c>
      <c r="E30" s="117" t="s">
        <v>87</v>
      </c>
      <c r="F30" s="38" t="str">
        <f t="shared" si="0"/>
        <v>DAN KOOTTATEP</v>
      </c>
      <c r="G30" s="113" t="s">
        <v>155</v>
      </c>
      <c r="H30" s="113" t="s">
        <v>277</v>
      </c>
      <c r="I30" s="113" t="s">
        <v>196</v>
      </c>
      <c r="J30" s="113" t="s">
        <v>199</v>
      </c>
      <c r="K30" s="113" t="s">
        <v>205</v>
      </c>
      <c r="L30" s="38"/>
      <c r="M30" s="110">
        <v>0.22916666666666666</v>
      </c>
      <c r="N30" s="38"/>
      <c r="O30" s="38"/>
      <c r="P30" s="38"/>
      <c r="Q30" s="114"/>
      <c r="R30" s="116" t="s">
        <v>206</v>
      </c>
      <c r="S30" s="116" t="s">
        <v>211</v>
      </c>
    </row>
    <row r="31" spans="1:19" ht="40.799999999999997">
      <c r="A31" s="3">
        <v>29</v>
      </c>
      <c r="B31" s="56">
        <v>3343</v>
      </c>
      <c r="C31" s="101" t="str">
        <f t="shared" si="1"/>
        <v>*3343*</v>
      </c>
      <c r="D31" s="38" t="s">
        <v>58</v>
      </c>
      <c r="E31" s="117" t="s">
        <v>88</v>
      </c>
      <c r="F31" s="38" t="str">
        <f t="shared" si="0"/>
        <v>RATAPORN TIPMONTREE</v>
      </c>
      <c r="G31" s="113" t="s">
        <v>156</v>
      </c>
      <c r="H31" s="113" t="s">
        <v>278</v>
      </c>
      <c r="I31" s="113" t="s">
        <v>198</v>
      </c>
      <c r="J31" s="113" t="s">
        <v>20</v>
      </c>
      <c r="K31" s="113" t="s">
        <v>205</v>
      </c>
      <c r="L31" s="38"/>
      <c r="M31" s="110">
        <v>0.22916666666666666</v>
      </c>
      <c r="N31" s="38"/>
      <c r="O31" s="38"/>
      <c r="P31" s="38"/>
      <c r="Q31" s="114"/>
      <c r="R31" s="116" t="s">
        <v>206</v>
      </c>
      <c r="S31" s="116" t="s">
        <v>212</v>
      </c>
    </row>
    <row r="32" spans="1:19" ht="40.799999999999997">
      <c r="A32" s="3">
        <v>30</v>
      </c>
      <c r="B32" s="56">
        <v>3344</v>
      </c>
      <c r="C32" s="101" t="str">
        <f t="shared" si="1"/>
        <v>*3344*</v>
      </c>
      <c r="D32" s="38" t="s">
        <v>57</v>
      </c>
      <c r="E32" s="117" t="s">
        <v>89</v>
      </c>
      <c r="F32" s="38" t="str">
        <f t="shared" si="0"/>
        <v>THANAKORN NERAWAN</v>
      </c>
      <c r="G32" s="113" t="s">
        <v>157</v>
      </c>
      <c r="H32" s="113" t="s">
        <v>277</v>
      </c>
      <c r="I32" s="113" t="s">
        <v>198</v>
      </c>
      <c r="J32" s="113" t="s">
        <v>20</v>
      </c>
      <c r="K32" s="113" t="s">
        <v>205</v>
      </c>
      <c r="L32" s="38"/>
      <c r="M32" s="110">
        <v>0.22916666666666666</v>
      </c>
      <c r="N32" s="38"/>
      <c r="O32" s="38"/>
      <c r="P32" s="38"/>
      <c r="Q32" s="114"/>
      <c r="R32" s="116" t="s">
        <v>208</v>
      </c>
      <c r="S32" s="116" t="s">
        <v>207</v>
      </c>
    </row>
    <row r="33" spans="1:19" ht="40.799999999999997">
      <c r="A33" s="3">
        <v>31</v>
      </c>
      <c r="B33" s="56">
        <v>3345</v>
      </c>
      <c r="C33" s="101" t="str">
        <f t="shared" si="1"/>
        <v>*3345*</v>
      </c>
      <c r="D33" s="38" t="s">
        <v>58</v>
      </c>
      <c r="E33" s="117" t="s">
        <v>90</v>
      </c>
      <c r="F33" s="38" t="str">
        <f t="shared" si="0"/>
        <v>CHONHATHAI THIENSIRI</v>
      </c>
      <c r="G33" s="113" t="s">
        <v>158</v>
      </c>
      <c r="H33" s="113" t="s">
        <v>278</v>
      </c>
      <c r="I33" s="113" t="s">
        <v>198</v>
      </c>
      <c r="J33" s="113" t="s">
        <v>20</v>
      </c>
      <c r="K33" s="113" t="s">
        <v>205</v>
      </c>
      <c r="L33" s="38"/>
      <c r="M33" s="110">
        <v>0.22916666666666666</v>
      </c>
      <c r="N33" s="38"/>
      <c r="O33" s="38"/>
      <c r="P33" s="38"/>
      <c r="Q33" s="114"/>
      <c r="R33" s="116" t="s">
        <v>208</v>
      </c>
      <c r="S33" s="116" t="s">
        <v>209</v>
      </c>
    </row>
    <row r="34" spans="1:19" ht="40.799999999999997">
      <c r="A34" s="3">
        <v>32</v>
      </c>
      <c r="B34" s="56">
        <v>3346</v>
      </c>
      <c r="C34" s="101" t="str">
        <f t="shared" si="1"/>
        <v>*3346*</v>
      </c>
      <c r="D34" s="38" t="s">
        <v>57</v>
      </c>
      <c r="E34" s="117" t="s">
        <v>91</v>
      </c>
      <c r="F34" s="38" t="str">
        <f t="shared" si="0"/>
        <v>NITITHRON ASAWAWONGMETHEE</v>
      </c>
      <c r="G34" s="113" t="s">
        <v>159</v>
      </c>
      <c r="H34" s="113" t="s">
        <v>277</v>
      </c>
      <c r="I34" s="113" t="s">
        <v>198</v>
      </c>
      <c r="J34" s="113" t="s">
        <v>20</v>
      </c>
      <c r="K34" s="113" t="s">
        <v>205</v>
      </c>
      <c r="L34" s="38"/>
      <c r="M34" s="110">
        <v>0.22916666666666666</v>
      </c>
      <c r="N34" s="38"/>
      <c r="O34" s="38"/>
      <c r="P34" s="38"/>
      <c r="Q34" s="114"/>
      <c r="R34" s="116" t="s">
        <v>206</v>
      </c>
      <c r="S34" s="116" t="s">
        <v>209</v>
      </c>
    </row>
    <row r="35" spans="1:19" ht="40.799999999999997">
      <c r="A35" s="3">
        <v>33</v>
      </c>
      <c r="B35" s="56">
        <v>3347</v>
      </c>
      <c r="C35" s="101" t="str">
        <f t="shared" si="1"/>
        <v>*3347*</v>
      </c>
      <c r="D35" s="38" t="s">
        <v>57</v>
      </c>
      <c r="E35" s="117" t="s">
        <v>92</v>
      </c>
      <c r="F35" s="38" t="str">
        <f t="shared" si="0"/>
        <v>PORNPOT KAJORNJIT</v>
      </c>
      <c r="G35" s="113" t="s">
        <v>160</v>
      </c>
      <c r="H35" s="113" t="s">
        <v>277</v>
      </c>
      <c r="I35" s="113" t="s">
        <v>198</v>
      </c>
      <c r="J35" s="113" t="s">
        <v>20</v>
      </c>
      <c r="K35" s="113" t="s">
        <v>205</v>
      </c>
      <c r="L35" s="38"/>
      <c r="M35" s="110">
        <v>0.22916666666666666</v>
      </c>
      <c r="N35" s="38"/>
      <c r="O35" s="38"/>
      <c r="P35" s="38"/>
      <c r="Q35" s="114"/>
      <c r="R35" s="116" t="s">
        <v>208</v>
      </c>
      <c r="S35" s="116" t="s">
        <v>211</v>
      </c>
    </row>
    <row r="36" spans="1:19" ht="40.799999999999997">
      <c r="A36" s="3">
        <v>34</v>
      </c>
      <c r="B36" s="56">
        <v>3348</v>
      </c>
      <c r="C36" s="101" t="str">
        <f t="shared" si="1"/>
        <v>*3348*</v>
      </c>
      <c r="D36" s="38" t="s">
        <v>57</v>
      </c>
      <c r="E36" s="117" t="s">
        <v>93</v>
      </c>
      <c r="F36" s="38" t="str">
        <f t="shared" si="0"/>
        <v>OLIVER HELM</v>
      </c>
      <c r="G36" s="113" t="s">
        <v>161</v>
      </c>
      <c r="H36" s="113" t="s">
        <v>277</v>
      </c>
      <c r="I36" s="113" t="s">
        <v>198</v>
      </c>
      <c r="J36" s="113" t="s">
        <v>200</v>
      </c>
      <c r="K36" s="113" t="s">
        <v>205</v>
      </c>
      <c r="L36" s="38"/>
      <c r="M36" s="110">
        <v>0.22916666666666666</v>
      </c>
      <c r="N36" s="38"/>
      <c r="O36" s="38"/>
      <c r="P36" s="38"/>
      <c r="Q36" s="114"/>
      <c r="R36" s="116" t="s">
        <v>206</v>
      </c>
      <c r="S36" s="116" t="s">
        <v>211</v>
      </c>
    </row>
    <row r="37" spans="1:19" ht="40.799999999999997">
      <c r="A37" s="3">
        <v>35</v>
      </c>
      <c r="B37" s="56">
        <v>3349</v>
      </c>
      <c r="C37" s="101" t="str">
        <f t="shared" si="1"/>
        <v>*3349*</v>
      </c>
      <c r="D37" s="38" t="s">
        <v>57</v>
      </c>
      <c r="E37" s="117" t="s">
        <v>94</v>
      </c>
      <c r="F37" s="38" t="str">
        <f t="shared" si="0"/>
        <v>ANUCHIT BOONSIRI</v>
      </c>
      <c r="G37" s="113" t="s">
        <v>162</v>
      </c>
      <c r="H37" s="113" t="s">
        <v>277</v>
      </c>
      <c r="I37" s="113" t="s">
        <v>197</v>
      </c>
      <c r="J37" s="113" t="s">
        <v>20</v>
      </c>
      <c r="K37" s="113" t="s">
        <v>205</v>
      </c>
      <c r="L37" s="38"/>
      <c r="M37" s="110">
        <v>0.22916666666666666</v>
      </c>
      <c r="N37" s="38"/>
      <c r="O37" s="38"/>
      <c r="P37" s="38"/>
      <c r="Q37" s="114"/>
      <c r="R37" s="116" t="s">
        <v>208</v>
      </c>
      <c r="S37" s="116" t="s">
        <v>211</v>
      </c>
    </row>
    <row r="38" spans="1:19" ht="40.799999999999997">
      <c r="A38" s="3">
        <v>36</v>
      </c>
      <c r="B38" s="56">
        <v>3350</v>
      </c>
      <c r="C38" s="101" t="str">
        <f t="shared" si="1"/>
        <v>*3350*</v>
      </c>
      <c r="D38" s="38" t="s">
        <v>57</v>
      </c>
      <c r="E38" s="117" t="s">
        <v>95</v>
      </c>
      <c r="F38" s="38" t="str">
        <f t="shared" si="0"/>
        <v>STEFAN ENGEL</v>
      </c>
      <c r="G38" s="113" t="s">
        <v>163</v>
      </c>
      <c r="H38" s="113" t="s">
        <v>277</v>
      </c>
      <c r="I38" s="113" t="s">
        <v>196</v>
      </c>
      <c r="J38" s="113" t="s">
        <v>201</v>
      </c>
      <c r="K38" s="113" t="s">
        <v>205</v>
      </c>
      <c r="L38" s="38"/>
      <c r="M38" s="110">
        <v>0.22916666666666666</v>
      </c>
      <c r="N38" s="38"/>
      <c r="O38" s="38"/>
      <c r="P38" s="38"/>
      <c r="Q38" s="114"/>
      <c r="R38" s="116" t="s">
        <v>208</v>
      </c>
      <c r="S38" s="116" t="s">
        <v>211</v>
      </c>
    </row>
    <row r="39" spans="1:19" ht="40.799999999999997">
      <c r="A39" s="3">
        <v>37</v>
      </c>
      <c r="B39" s="56">
        <v>3351</v>
      </c>
      <c r="C39" s="101" t="str">
        <f t="shared" si="1"/>
        <v>*3351*</v>
      </c>
      <c r="D39" s="38" t="s">
        <v>57</v>
      </c>
      <c r="E39" s="117" t="s">
        <v>96</v>
      </c>
      <c r="F39" s="38" t="str">
        <f t="shared" si="0"/>
        <v>CHRISTIAN WENDELL</v>
      </c>
      <c r="G39" s="113" t="s">
        <v>164</v>
      </c>
      <c r="H39" s="113" t="s">
        <v>277</v>
      </c>
      <c r="I39" s="113" t="s">
        <v>196</v>
      </c>
      <c r="J39" s="113" t="s">
        <v>202</v>
      </c>
      <c r="K39" s="113" t="s">
        <v>205</v>
      </c>
      <c r="L39" s="38"/>
      <c r="M39" s="110">
        <v>0.22916666666666666</v>
      </c>
      <c r="N39" s="38"/>
      <c r="O39" s="38"/>
      <c r="P39" s="38"/>
      <c r="Q39" s="114"/>
      <c r="R39" s="116" t="s">
        <v>206</v>
      </c>
      <c r="S39" s="116" t="s">
        <v>207</v>
      </c>
    </row>
    <row r="40" spans="1:19" ht="40.799999999999997">
      <c r="A40" s="3">
        <v>38</v>
      </c>
      <c r="B40" s="56">
        <v>3352</v>
      </c>
      <c r="C40" s="101" t="str">
        <f t="shared" si="1"/>
        <v>*3352*</v>
      </c>
      <c r="D40" s="38" t="s">
        <v>58</v>
      </c>
      <c r="E40" s="117" t="s">
        <v>97</v>
      </c>
      <c r="F40" s="38" t="str">
        <f t="shared" si="0"/>
        <v>NISA KHAMWONGSA</v>
      </c>
      <c r="G40" s="113" t="s">
        <v>165</v>
      </c>
      <c r="H40" s="113" t="s">
        <v>278</v>
      </c>
      <c r="I40" s="113" t="s">
        <v>197</v>
      </c>
      <c r="J40" s="113" t="s">
        <v>20</v>
      </c>
      <c r="K40" s="113" t="s">
        <v>205</v>
      </c>
      <c r="L40" s="38"/>
      <c r="M40" s="110">
        <v>0.22916666666666666</v>
      </c>
      <c r="N40" s="38"/>
      <c r="O40" s="38"/>
      <c r="P40" s="38"/>
      <c r="Q40" s="114"/>
      <c r="R40" s="116" t="s">
        <v>208</v>
      </c>
      <c r="S40" s="116" t="s">
        <v>212</v>
      </c>
    </row>
    <row r="41" spans="1:19" ht="40.799999999999997">
      <c r="A41" s="3">
        <v>39</v>
      </c>
      <c r="B41" s="56">
        <v>3353</v>
      </c>
      <c r="C41" s="101" t="str">
        <f t="shared" si="1"/>
        <v>*3353*</v>
      </c>
      <c r="D41" s="38" t="s">
        <v>57</v>
      </c>
      <c r="E41" s="117" t="s">
        <v>98</v>
      </c>
      <c r="F41" s="38" t="str">
        <f t="shared" si="0"/>
        <v>MANOO SUKTHANG</v>
      </c>
      <c r="G41" s="118" t="s">
        <v>166</v>
      </c>
      <c r="H41" s="113" t="s">
        <v>277</v>
      </c>
      <c r="I41" s="113" t="s">
        <v>196</v>
      </c>
      <c r="J41" s="113" t="s">
        <v>20</v>
      </c>
      <c r="K41" s="113" t="s">
        <v>205</v>
      </c>
      <c r="L41" s="38"/>
      <c r="M41" s="110">
        <v>0.22916666666666666</v>
      </c>
      <c r="N41" s="38"/>
      <c r="O41" s="38"/>
      <c r="P41" s="38"/>
      <c r="Q41" s="119"/>
      <c r="R41" s="116" t="s">
        <v>208</v>
      </c>
      <c r="S41" s="116" t="s">
        <v>207</v>
      </c>
    </row>
    <row r="42" spans="1:19" ht="40.799999999999997">
      <c r="A42" s="3">
        <v>40</v>
      </c>
      <c r="B42" s="56">
        <v>3354</v>
      </c>
      <c r="C42" s="101" t="str">
        <f t="shared" si="1"/>
        <v>*3354*</v>
      </c>
      <c r="D42" s="38" t="s">
        <v>57</v>
      </c>
      <c r="E42" s="117" t="s">
        <v>99</v>
      </c>
      <c r="F42" s="38" t="str">
        <f t="shared" si="0"/>
        <v>SOMPHOL SIRISARINGKARN</v>
      </c>
      <c r="G42" s="113" t="s">
        <v>167</v>
      </c>
      <c r="H42" s="113" t="s">
        <v>277</v>
      </c>
      <c r="I42" s="113" t="s">
        <v>196</v>
      </c>
      <c r="J42" s="113" t="s">
        <v>20</v>
      </c>
      <c r="K42" s="113" t="s">
        <v>205</v>
      </c>
      <c r="L42" s="38"/>
      <c r="M42" s="110">
        <v>0.22916666666666666</v>
      </c>
      <c r="N42" s="38"/>
      <c r="O42" s="38"/>
      <c r="P42" s="38"/>
      <c r="Q42" s="114"/>
      <c r="R42" s="116" t="s">
        <v>208</v>
      </c>
      <c r="S42" s="116" t="s">
        <v>213</v>
      </c>
    </row>
    <row r="43" spans="1:19" ht="40.799999999999997">
      <c r="A43" s="3">
        <v>41</v>
      </c>
      <c r="B43" s="56">
        <v>3355</v>
      </c>
      <c r="C43" s="101" t="str">
        <f t="shared" si="1"/>
        <v>*3355*</v>
      </c>
      <c r="D43" s="38" t="s">
        <v>57</v>
      </c>
      <c r="E43" s="117" t="s">
        <v>100</v>
      </c>
      <c r="F43" s="38" t="str">
        <f t="shared" si="0"/>
        <v>TORPONG MANSUMRUATKAN</v>
      </c>
      <c r="G43" s="113" t="s">
        <v>168</v>
      </c>
      <c r="H43" s="113" t="s">
        <v>277</v>
      </c>
      <c r="I43" s="113" t="s">
        <v>198</v>
      </c>
      <c r="J43" s="113" t="s">
        <v>20</v>
      </c>
      <c r="K43" s="113" t="s">
        <v>205</v>
      </c>
      <c r="L43" s="38"/>
      <c r="M43" s="110">
        <v>0.22916666666666666</v>
      </c>
      <c r="N43" s="38"/>
      <c r="O43" s="38"/>
      <c r="P43" s="38"/>
      <c r="Q43" s="114"/>
      <c r="R43" s="116" t="s">
        <v>206</v>
      </c>
      <c r="S43" s="116" t="s">
        <v>211</v>
      </c>
    </row>
    <row r="44" spans="1:19" ht="40.799999999999997">
      <c r="A44" s="3">
        <v>42</v>
      </c>
      <c r="B44" s="56">
        <v>3356</v>
      </c>
      <c r="C44" s="101" t="str">
        <f t="shared" si="1"/>
        <v>*3356*</v>
      </c>
      <c r="D44" s="38"/>
      <c r="E44" s="117" t="s">
        <v>101</v>
      </c>
      <c r="F44" s="38" t="str">
        <f t="shared" si="0"/>
        <v>MATCHA PHORIN</v>
      </c>
      <c r="G44" s="113" t="s">
        <v>169</v>
      </c>
      <c r="H44" s="113" t="s">
        <v>279</v>
      </c>
      <c r="I44" s="113" t="s">
        <v>196</v>
      </c>
      <c r="J44" s="113" t="s">
        <v>20</v>
      </c>
      <c r="K44" s="113" t="s">
        <v>205</v>
      </c>
      <c r="L44" s="38"/>
      <c r="M44" s="110">
        <v>0.22916666666666666</v>
      </c>
      <c r="N44" s="38"/>
      <c r="O44" s="38"/>
      <c r="P44" s="38"/>
      <c r="Q44" s="114"/>
      <c r="R44" s="116" t="s">
        <v>206</v>
      </c>
      <c r="S44" s="116" t="s">
        <v>207</v>
      </c>
    </row>
    <row r="45" spans="1:19" ht="40.799999999999997">
      <c r="A45" s="3">
        <v>43</v>
      </c>
      <c r="B45" s="56">
        <v>3357</v>
      </c>
      <c r="C45" s="101" t="str">
        <f t="shared" si="1"/>
        <v>*3357*</v>
      </c>
      <c r="D45" s="38"/>
      <c r="E45" s="117" t="s">
        <v>102</v>
      </c>
      <c r="F45" s="38" t="str">
        <f t="shared" si="0"/>
        <v>VEERAWN WANNA</v>
      </c>
      <c r="G45" s="113" t="s">
        <v>170</v>
      </c>
      <c r="H45" s="113" t="s">
        <v>279</v>
      </c>
      <c r="I45" s="113" t="s">
        <v>197</v>
      </c>
      <c r="J45" s="113" t="s">
        <v>20</v>
      </c>
      <c r="K45" s="113" t="s">
        <v>205</v>
      </c>
      <c r="L45" s="38"/>
      <c r="M45" s="110">
        <v>0.22916666666666666</v>
      </c>
      <c r="N45" s="38"/>
      <c r="O45" s="38"/>
      <c r="P45" s="38"/>
      <c r="Q45" s="114"/>
      <c r="R45" s="116" t="s">
        <v>206</v>
      </c>
      <c r="S45" s="116" t="s">
        <v>207</v>
      </c>
    </row>
    <row r="46" spans="1:19" ht="40.799999999999997">
      <c r="A46" s="3">
        <v>44</v>
      </c>
      <c r="B46" s="56">
        <v>3358</v>
      </c>
      <c r="C46" s="101" t="str">
        <f t="shared" si="1"/>
        <v>*3358*</v>
      </c>
      <c r="D46" s="38"/>
      <c r="E46" s="117" t="s">
        <v>103</v>
      </c>
      <c r="F46" s="38" t="str">
        <f t="shared" si="0"/>
        <v>SIRIWAN PHOMIN</v>
      </c>
      <c r="G46" s="113" t="s">
        <v>171</v>
      </c>
      <c r="H46" s="113" t="s">
        <v>279</v>
      </c>
      <c r="I46" s="113" t="s">
        <v>198</v>
      </c>
      <c r="J46" s="113" t="s">
        <v>20</v>
      </c>
      <c r="K46" s="113" t="s">
        <v>205</v>
      </c>
      <c r="L46" s="38"/>
      <c r="M46" s="110">
        <v>0.22916666666666666</v>
      </c>
      <c r="N46" s="38"/>
      <c r="O46" s="38"/>
      <c r="P46" s="38"/>
      <c r="Q46" s="119"/>
      <c r="R46" s="116" t="s">
        <v>206</v>
      </c>
      <c r="S46" s="116" t="s">
        <v>210</v>
      </c>
    </row>
    <row r="47" spans="1:19" ht="40.799999999999997">
      <c r="A47" s="3">
        <v>45</v>
      </c>
      <c r="B47" s="56">
        <v>3359</v>
      </c>
      <c r="C47" s="101" t="str">
        <f t="shared" si="1"/>
        <v>*3359*</v>
      </c>
      <c r="D47" s="38" t="s">
        <v>57</v>
      </c>
      <c r="E47" s="117" t="s">
        <v>104</v>
      </c>
      <c r="F47" s="38" t="str">
        <f t="shared" si="0"/>
        <v>PUTTHAPONG JITRAKYAD</v>
      </c>
      <c r="G47" s="113" t="s">
        <v>172</v>
      </c>
      <c r="H47" s="113" t="s">
        <v>277</v>
      </c>
      <c r="I47" s="113" t="s">
        <v>196</v>
      </c>
      <c r="J47" s="113" t="s">
        <v>20</v>
      </c>
      <c r="K47" s="113" t="s">
        <v>205</v>
      </c>
      <c r="L47" s="38"/>
      <c r="M47" s="110">
        <v>0.22916666666666666</v>
      </c>
      <c r="N47" s="38"/>
      <c r="O47" s="38"/>
      <c r="P47" s="38"/>
      <c r="Q47" s="114"/>
      <c r="R47" s="116" t="s">
        <v>206</v>
      </c>
      <c r="S47" s="116" t="s">
        <v>207</v>
      </c>
    </row>
    <row r="48" spans="1:19" ht="40.799999999999997">
      <c r="A48" s="3">
        <v>46</v>
      </c>
      <c r="B48" s="56">
        <v>3360</v>
      </c>
      <c r="C48" s="101" t="str">
        <f t="shared" si="1"/>
        <v>*3360*</v>
      </c>
      <c r="D48" s="38"/>
      <c r="E48" s="117" t="s">
        <v>105</v>
      </c>
      <c r="F48" s="38" t="str">
        <f t="shared" si="0"/>
        <v>SOMSIR LABBUDA</v>
      </c>
      <c r="G48" s="113" t="s">
        <v>173</v>
      </c>
      <c r="H48" s="113" t="s">
        <v>279</v>
      </c>
      <c r="I48" s="113" t="s">
        <v>198</v>
      </c>
      <c r="J48" s="113" t="s">
        <v>20</v>
      </c>
      <c r="K48" s="113" t="s">
        <v>205</v>
      </c>
      <c r="L48" s="38"/>
      <c r="M48" s="110">
        <v>0.22916666666666666</v>
      </c>
      <c r="N48" s="38"/>
      <c r="O48" s="38"/>
      <c r="P48" s="38"/>
      <c r="Q48" s="114"/>
      <c r="R48" s="116" t="s">
        <v>206</v>
      </c>
      <c r="S48" s="116" t="s">
        <v>207</v>
      </c>
    </row>
    <row r="49" spans="1:19" ht="40.799999999999997">
      <c r="A49" s="3">
        <v>47</v>
      </c>
      <c r="B49" s="56">
        <v>3361</v>
      </c>
      <c r="C49" s="101" t="str">
        <f t="shared" si="1"/>
        <v>*3361*</v>
      </c>
      <c r="D49" s="38" t="s">
        <v>58</v>
      </c>
      <c r="E49" s="117" t="s">
        <v>106</v>
      </c>
      <c r="F49" s="38" t="str">
        <f t="shared" si="0"/>
        <v>JULARRUCK CHUNTAPA</v>
      </c>
      <c r="G49" s="113" t="s">
        <v>174</v>
      </c>
      <c r="H49" s="113" t="s">
        <v>278</v>
      </c>
      <c r="I49" s="113" t="s">
        <v>274</v>
      </c>
      <c r="J49" s="113" t="s">
        <v>20</v>
      </c>
      <c r="K49" s="113" t="s">
        <v>205</v>
      </c>
      <c r="L49" s="38"/>
      <c r="M49" s="110">
        <v>0.22916666666666666</v>
      </c>
      <c r="N49" s="38"/>
      <c r="O49" s="38"/>
      <c r="P49" s="38"/>
      <c r="Q49" s="114"/>
      <c r="R49" s="116" t="s">
        <v>206</v>
      </c>
      <c r="S49" s="116" t="s">
        <v>212</v>
      </c>
    </row>
    <row r="50" spans="1:19" ht="40.799999999999997">
      <c r="A50" s="3">
        <v>48</v>
      </c>
      <c r="B50" s="56">
        <v>3362</v>
      </c>
      <c r="C50" s="101" t="str">
        <f t="shared" si="1"/>
        <v>*3362*</v>
      </c>
      <c r="D50" s="38" t="s">
        <v>57</v>
      </c>
      <c r="E50" s="117" t="s">
        <v>107</v>
      </c>
      <c r="F50" s="38" t="str">
        <f t="shared" si="0"/>
        <v>ATHIPPAKORN LNJINDA</v>
      </c>
      <c r="G50" s="113" t="s">
        <v>175</v>
      </c>
      <c r="H50" s="113" t="s">
        <v>277</v>
      </c>
      <c r="I50" s="113" t="s">
        <v>198</v>
      </c>
      <c r="J50" s="113" t="s">
        <v>20</v>
      </c>
      <c r="K50" s="113" t="s">
        <v>205</v>
      </c>
      <c r="L50" s="38"/>
      <c r="M50" s="110">
        <v>0.22916666666666666</v>
      </c>
      <c r="N50" s="38"/>
      <c r="O50" s="38"/>
      <c r="P50" s="38"/>
      <c r="Q50" s="114"/>
      <c r="R50" s="116" t="s">
        <v>206</v>
      </c>
      <c r="S50" s="116" t="s">
        <v>214</v>
      </c>
    </row>
    <row r="51" spans="1:19" ht="40.799999999999997">
      <c r="A51" s="3">
        <v>49</v>
      </c>
      <c r="B51" s="56">
        <v>3363</v>
      </c>
      <c r="C51" s="101" t="str">
        <f t="shared" si="1"/>
        <v>*3363*</v>
      </c>
      <c r="D51" s="38" t="s">
        <v>59</v>
      </c>
      <c r="E51" s="117" t="s">
        <v>108</v>
      </c>
      <c r="F51" s="38" t="str">
        <f t="shared" si="0"/>
        <v>KAMOL SUKWANG</v>
      </c>
      <c r="G51" s="113" t="s">
        <v>176</v>
      </c>
      <c r="H51" s="113" t="s">
        <v>277</v>
      </c>
      <c r="I51" s="113" t="s">
        <v>196</v>
      </c>
      <c r="J51" s="113" t="s">
        <v>20</v>
      </c>
      <c r="K51" s="113" t="s">
        <v>205</v>
      </c>
      <c r="L51" s="38"/>
      <c r="M51" s="110">
        <v>0.22916666666666666</v>
      </c>
      <c r="N51" s="38"/>
      <c r="O51" s="38"/>
      <c r="P51" s="38"/>
      <c r="Q51" s="114"/>
      <c r="R51" s="116" t="s">
        <v>206</v>
      </c>
      <c r="S51" s="116" t="s">
        <v>207</v>
      </c>
    </row>
    <row r="52" spans="1:19" ht="40.799999999999997">
      <c r="A52" s="3">
        <v>50</v>
      </c>
      <c r="B52" s="56">
        <v>3364</v>
      </c>
      <c r="C52" s="101" t="str">
        <f t="shared" si="1"/>
        <v>*3364*</v>
      </c>
      <c r="D52" s="38" t="s">
        <v>57</v>
      </c>
      <c r="E52" s="117" t="s">
        <v>109</v>
      </c>
      <c r="F52" s="38" t="str">
        <f t="shared" si="0"/>
        <v>EMMANUEL ABADIE</v>
      </c>
      <c r="G52" s="113" t="s">
        <v>177</v>
      </c>
      <c r="H52" s="113" t="s">
        <v>277</v>
      </c>
      <c r="I52" s="113" t="s">
        <v>198</v>
      </c>
      <c r="J52" s="113" t="s">
        <v>203</v>
      </c>
      <c r="K52" s="113" t="s">
        <v>205</v>
      </c>
      <c r="L52" s="38"/>
      <c r="M52" s="110">
        <v>0.22916666666666666</v>
      </c>
      <c r="N52" s="38"/>
      <c r="O52" s="38"/>
      <c r="P52" s="38"/>
      <c r="Q52" s="114"/>
      <c r="R52" s="116">
        <v>0</v>
      </c>
      <c r="S52" s="116">
        <v>0</v>
      </c>
    </row>
    <row r="53" spans="1:19" ht="40.799999999999997">
      <c r="A53" s="3">
        <v>51</v>
      </c>
      <c r="B53" s="56">
        <v>3365</v>
      </c>
      <c r="C53" s="101" t="str">
        <f t="shared" si="1"/>
        <v>*3365*</v>
      </c>
      <c r="D53" s="38" t="s">
        <v>57</v>
      </c>
      <c r="E53" s="117" t="s">
        <v>110</v>
      </c>
      <c r="F53" s="38" t="str">
        <f t="shared" si="0"/>
        <v>WILLIAM BJ SCHULTE</v>
      </c>
      <c r="G53" s="113" t="s">
        <v>178</v>
      </c>
      <c r="H53" s="113" t="s">
        <v>277</v>
      </c>
      <c r="I53" s="113" t="s">
        <v>196</v>
      </c>
      <c r="J53" s="113" t="s">
        <v>204</v>
      </c>
      <c r="K53" s="113" t="s">
        <v>205</v>
      </c>
      <c r="L53" s="38"/>
      <c r="M53" s="110">
        <v>0.22916666666666666</v>
      </c>
      <c r="N53" s="38"/>
      <c r="O53" s="38"/>
      <c r="P53" s="38"/>
      <c r="Q53" s="114"/>
      <c r="R53" s="116">
        <v>0</v>
      </c>
      <c r="S53" s="116">
        <v>0</v>
      </c>
    </row>
    <row r="54" spans="1:19" ht="40.799999999999997">
      <c r="A54" s="3">
        <v>52</v>
      </c>
      <c r="B54" s="56">
        <v>3366</v>
      </c>
      <c r="C54" s="101" t="str">
        <f t="shared" si="1"/>
        <v>*3366*</v>
      </c>
      <c r="D54" s="38" t="s">
        <v>57</v>
      </c>
      <c r="E54" s="117" t="s">
        <v>111</v>
      </c>
      <c r="F54" s="38" t="str">
        <f t="shared" si="0"/>
        <v>SUPAROEK NIYOMKARN</v>
      </c>
      <c r="G54" s="120" t="s">
        <v>179</v>
      </c>
      <c r="H54" s="113" t="s">
        <v>277</v>
      </c>
      <c r="I54" s="113" t="s">
        <v>198</v>
      </c>
      <c r="J54" s="113" t="s">
        <v>20</v>
      </c>
      <c r="K54" s="113" t="s">
        <v>205</v>
      </c>
      <c r="L54" s="38"/>
      <c r="M54" s="110">
        <v>0.22916666666666666</v>
      </c>
      <c r="N54" s="38"/>
      <c r="O54" s="38"/>
      <c r="P54" s="38"/>
      <c r="Q54" s="114"/>
      <c r="R54" s="116" t="s">
        <v>208</v>
      </c>
      <c r="S54" s="116" t="s">
        <v>211</v>
      </c>
    </row>
    <row r="55" spans="1:19" ht="40.799999999999997">
      <c r="A55" s="3">
        <v>53</v>
      </c>
      <c r="B55" s="56">
        <v>3367</v>
      </c>
      <c r="C55" s="101" t="str">
        <f t="shared" si="1"/>
        <v>*3367*</v>
      </c>
      <c r="D55" s="38" t="s">
        <v>60</v>
      </c>
      <c r="E55" s="117" t="s">
        <v>112</v>
      </c>
      <c r="F55" s="38" t="str">
        <f t="shared" si="0"/>
        <v>TEERANNI JUNDEE</v>
      </c>
      <c r="G55" s="120" t="s">
        <v>180</v>
      </c>
      <c r="H55" s="113" t="s">
        <v>277</v>
      </c>
      <c r="I55" s="113" t="s">
        <v>196</v>
      </c>
      <c r="J55" s="113" t="s">
        <v>20</v>
      </c>
      <c r="K55" s="113" t="s">
        <v>205</v>
      </c>
      <c r="L55" s="38"/>
      <c r="M55" s="110">
        <v>0.22916666666666666</v>
      </c>
      <c r="N55" s="38"/>
      <c r="O55" s="38"/>
      <c r="P55" s="38"/>
      <c r="Q55" s="114"/>
      <c r="R55" s="116" t="s">
        <v>206</v>
      </c>
      <c r="S55" s="116" t="s">
        <v>214</v>
      </c>
    </row>
    <row r="56" spans="1:19" ht="40.799999999999997">
      <c r="A56" s="3">
        <v>54</v>
      </c>
      <c r="B56" s="56">
        <v>3368</v>
      </c>
      <c r="C56" s="101" t="str">
        <f t="shared" si="1"/>
        <v>*3368*</v>
      </c>
      <c r="D56" s="38" t="s">
        <v>58</v>
      </c>
      <c r="E56" s="117" t="s">
        <v>113</v>
      </c>
      <c r="F56" s="38" t="str">
        <f t="shared" si="0"/>
        <v>TOTSAPORN MUAMGNGAM</v>
      </c>
      <c r="G56" s="120" t="s">
        <v>181</v>
      </c>
      <c r="H56" s="113" t="s">
        <v>278</v>
      </c>
      <c r="I56" s="113" t="s">
        <v>198</v>
      </c>
      <c r="J56" s="113" t="s">
        <v>20</v>
      </c>
      <c r="K56" s="113" t="s">
        <v>205</v>
      </c>
      <c r="L56" s="38"/>
      <c r="M56" s="110">
        <v>0.22916666666666666</v>
      </c>
      <c r="N56" s="38"/>
      <c r="O56" s="38"/>
      <c r="P56" s="38"/>
      <c r="Q56" s="114"/>
      <c r="R56" s="116" t="s">
        <v>206</v>
      </c>
      <c r="S56" s="116" t="s">
        <v>210</v>
      </c>
    </row>
    <row r="57" spans="1:19" ht="40.799999999999997">
      <c r="A57" s="3">
        <v>55</v>
      </c>
      <c r="B57" s="56">
        <v>3369</v>
      </c>
      <c r="C57" s="101" t="str">
        <f t="shared" si="1"/>
        <v>*3369*</v>
      </c>
      <c r="D57" s="38" t="s">
        <v>57</v>
      </c>
      <c r="E57" s="117" t="s">
        <v>114</v>
      </c>
      <c r="F57" s="38" t="str">
        <f t="shared" si="0"/>
        <v>SURASAK CHUNTAPA</v>
      </c>
      <c r="G57" s="113" t="s">
        <v>182</v>
      </c>
      <c r="H57" s="113" t="s">
        <v>277</v>
      </c>
      <c r="I57" s="113" t="s">
        <v>198</v>
      </c>
      <c r="J57" s="113" t="s">
        <v>20</v>
      </c>
      <c r="K57" s="113" t="s">
        <v>205</v>
      </c>
      <c r="L57" s="38"/>
      <c r="M57" s="110">
        <v>0.22916666666666666</v>
      </c>
      <c r="N57" s="38"/>
      <c r="O57" s="38"/>
      <c r="P57" s="38"/>
      <c r="Q57" s="114"/>
      <c r="R57" s="116" t="s">
        <v>206</v>
      </c>
      <c r="S57" s="116" t="s">
        <v>214</v>
      </c>
    </row>
    <row r="58" spans="1:19" ht="40.799999999999997">
      <c r="A58" s="3">
        <v>56</v>
      </c>
      <c r="B58" s="56">
        <v>3370</v>
      </c>
      <c r="C58" s="101" t="str">
        <f t="shared" si="1"/>
        <v>*3370*</v>
      </c>
      <c r="D58" s="38" t="s">
        <v>57</v>
      </c>
      <c r="E58" s="117" t="s">
        <v>115</v>
      </c>
      <c r="F58" s="38" t="str">
        <f t="shared" si="0"/>
        <v>WECHSON KHAMPINIT</v>
      </c>
      <c r="G58" s="113" t="s">
        <v>183</v>
      </c>
      <c r="H58" s="113" t="s">
        <v>277</v>
      </c>
      <c r="I58" s="113" t="s">
        <v>274</v>
      </c>
      <c r="J58" s="113" t="s">
        <v>20</v>
      </c>
      <c r="K58" s="113" t="s">
        <v>205</v>
      </c>
      <c r="L58" s="38"/>
      <c r="M58" s="110">
        <v>0.22916666666666666</v>
      </c>
      <c r="N58" s="38"/>
      <c r="O58" s="38"/>
      <c r="P58" s="38"/>
      <c r="Q58" s="114"/>
      <c r="R58" s="116" t="s">
        <v>206</v>
      </c>
      <c r="S58" s="116" t="s">
        <v>212</v>
      </c>
    </row>
    <row r="59" spans="1:19" ht="40.799999999999997">
      <c r="A59" s="3">
        <v>57</v>
      </c>
      <c r="B59" s="56">
        <v>3371</v>
      </c>
      <c r="C59" s="101" t="str">
        <f t="shared" si="1"/>
        <v>*3371*</v>
      </c>
      <c r="D59" s="38" t="s">
        <v>57</v>
      </c>
      <c r="E59" s="117" t="s">
        <v>116</v>
      </c>
      <c r="F59" s="38" t="str">
        <f t="shared" si="0"/>
        <v>CHARUWAT KETSORN</v>
      </c>
      <c r="G59" s="113" t="s">
        <v>184</v>
      </c>
      <c r="H59" s="113" t="s">
        <v>277</v>
      </c>
      <c r="I59" s="113" t="s">
        <v>197</v>
      </c>
      <c r="J59" s="113" t="s">
        <v>20</v>
      </c>
      <c r="K59" s="113" t="s">
        <v>205</v>
      </c>
      <c r="L59" s="38"/>
      <c r="M59" s="110">
        <v>0.22916666666666666</v>
      </c>
      <c r="N59" s="38"/>
      <c r="O59" s="38"/>
      <c r="P59" s="38"/>
      <c r="Q59" s="114"/>
      <c r="R59" s="116" t="s">
        <v>206</v>
      </c>
      <c r="S59" s="116" t="s">
        <v>214</v>
      </c>
    </row>
    <row r="60" spans="1:19" ht="40.799999999999997">
      <c r="A60" s="3">
        <v>58</v>
      </c>
      <c r="B60" s="56">
        <v>3372</v>
      </c>
      <c r="C60" s="101" t="str">
        <f t="shared" si="1"/>
        <v>*3372*</v>
      </c>
      <c r="D60" s="38" t="s">
        <v>58</v>
      </c>
      <c r="E60" s="117" t="s">
        <v>117</v>
      </c>
      <c r="F60" s="38" t="str">
        <f t="shared" si="0"/>
        <v>RATSAMEE DAWJBON</v>
      </c>
      <c r="G60" s="113" t="s">
        <v>185</v>
      </c>
      <c r="H60" s="113" t="s">
        <v>278</v>
      </c>
      <c r="I60" s="113" t="s">
        <v>196</v>
      </c>
      <c r="J60" s="113" t="s">
        <v>20</v>
      </c>
      <c r="K60" s="113" t="s">
        <v>205</v>
      </c>
      <c r="L60" s="38"/>
      <c r="M60" s="110">
        <v>0.22916666666666666</v>
      </c>
      <c r="N60" s="38"/>
      <c r="O60" s="38"/>
      <c r="P60" s="38"/>
      <c r="Q60" s="119"/>
      <c r="R60" s="116" t="s">
        <v>206</v>
      </c>
      <c r="S60" s="116" t="s">
        <v>207</v>
      </c>
    </row>
    <row r="61" spans="1:19" ht="40.799999999999997">
      <c r="A61" s="3">
        <v>59</v>
      </c>
      <c r="B61" s="56">
        <v>3373</v>
      </c>
      <c r="C61" s="101" t="str">
        <f t="shared" si="1"/>
        <v>*3373*</v>
      </c>
      <c r="D61" s="38" t="s">
        <v>57</v>
      </c>
      <c r="E61" s="117" t="s">
        <v>118</v>
      </c>
      <c r="F61" s="38" t="str">
        <f t="shared" si="0"/>
        <v>ANTHONG ARAUJO</v>
      </c>
      <c r="G61" s="113" t="s">
        <v>186</v>
      </c>
      <c r="H61" s="113" t="s">
        <v>277</v>
      </c>
      <c r="I61" s="113" t="s">
        <v>198</v>
      </c>
      <c r="J61" s="113" t="s">
        <v>204</v>
      </c>
      <c r="K61" s="113" t="s">
        <v>205</v>
      </c>
      <c r="L61" s="38"/>
      <c r="M61" s="110">
        <v>0.22916666666666666</v>
      </c>
      <c r="N61" s="38"/>
      <c r="O61" s="38"/>
      <c r="P61" s="38"/>
      <c r="Q61" s="114"/>
      <c r="R61" s="116" t="s">
        <v>206</v>
      </c>
      <c r="S61" s="116" t="s">
        <v>211</v>
      </c>
    </row>
    <row r="62" spans="1:19" ht="40.799999999999997">
      <c r="A62" s="3">
        <v>60</v>
      </c>
      <c r="B62" s="56">
        <v>3374</v>
      </c>
      <c r="C62" s="101" t="str">
        <f t="shared" si="1"/>
        <v>*3374*</v>
      </c>
      <c r="D62" s="38" t="s">
        <v>58</v>
      </c>
      <c r="E62" s="117" t="s">
        <v>119</v>
      </c>
      <c r="F62" s="38" t="str">
        <f t="shared" si="0"/>
        <v>JULARRUCK LOMPAIBOON</v>
      </c>
      <c r="G62" s="113" t="s">
        <v>187</v>
      </c>
      <c r="H62" s="113" t="s">
        <v>278</v>
      </c>
      <c r="I62" s="113" t="s">
        <v>274</v>
      </c>
      <c r="J62" s="113" t="s">
        <v>20</v>
      </c>
      <c r="K62" s="113" t="s">
        <v>205</v>
      </c>
      <c r="L62" s="38"/>
      <c r="M62" s="110">
        <v>0.22916666666666666</v>
      </c>
      <c r="N62" s="38"/>
      <c r="O62" s="38"/>
      <c r="P62" s="38"/>
      <c r="Q62" s="114"/>
      <c r="R62" s="116" t="s">
        <v>206</v>
      </c>
      <c r="S62" s="116" t="s">
        <v>212</v>
      </c>
    </row>
    <row r="63" spans="1:19" ht="40.799999999999997">
      <c r="A63" s="3">
        <v>61</v>
      </c>
      <c r="B63" s="56">
        <v>3375</v>
      </c>
      <c r="C63" s="101" t="str">
        <f t="shared" si="1"/>
        <v>*3375*</v>
      </c>
      <c r="D63" s="38" t="s">
        <v>58</v>
      </c>
      <c r="E63" s="117" t="s">
        <v>120</v>
      </c>
      <c r="F63" s="38" t="str">
        <f t="shared" si="0"/>
        <v>BENYADA YOSHSINGCOME</v>
      </c>
      <c r="G63" s="113" t="s">
        <v>188</v>
      </c>
      <c r="H63" s="113" t="s">
        <v>278</v>
      </c>
      <c r="I63" s="113" t="s">
        <v>196</v>
      </c>
      <c r="J63" s="113" t="s">
        <v>20</v>
      </c>
      <c r="K63" s="113" t="s">
        <v>205</v>
      </c>
      <c r="L63" s="38"/>
      <c r="M63" s="110">
        <v>0.22916666666666666</v>
      </c>
      <c r="N63" s="38"/>
      <c r="O63" s="38"/>
      <c r="P63" s="38"/>
      <c r="Q63" s="119"/>
      <c r="R63" s="116" t="s">
        <v>206</v>
      </c>
      <c r="S63" s="116" t="s">
        <v>210</v>
      </c>
    </row>
    <row r="64" spans="1:19" ht="40.799999999999997">
      <c r="A64" s="3">
        <v>62</v>
      </c>
      <c r="B64" s="56">
        <v>3376</v>
      </c>
      <c r="C64" s="101" t="str">
        <f t="shared" si="1"/>
        <v>*3376*</v>
      </c>
      <c r="D64" s="38" t="s">
        <v>58</v>
      </c>
      <c r="E64" s="117" t="s">
        <v>121</v>
      </c>
      <c r="F64" s="38" t="str">
        <f t="shared" si="0"/>
        <v>THUNYALUK BOONPONG</v>
      </c>
      <c r="G64" s="113" t="s">
        <v>189</v>
      </c>
      <c r="H64" s="113" t="s">
        <v>278</v>
      </c>
      <c r="I64" s="113" t="s">
        <v>198</v>
      </c>
      <c r="J64" s="113" t="s">
        <v>20</v>
      </c>
      <c r="K64" s="113" t="s">
        <v>205</v>
      </c>
      <c r="L64" s="38"/>
      <c r="M64" s="110">
        <v>0.22916666666666666</v>
      </c>
      <c r="N64" s="38"/>
      <c r="O64" s="38"/>
      <c r="P64" s="38"/>
      <c r="Q64" s="114"/>
      <c r="R64" s="116" t="s">
        <v>206</v>
      </c>
      <c r="S64" s="116" t="s">
        <v>212</v>
      </c>
    </row>
    <row r="65" spans="1:19" ht="40.799999999999997">
      <c r="A65" s="3">
        <v>63</v>
      </c>
      <c r="B65" s="56">
        <v>3377</v>
      </c>
      <c r="C65" s="101" t="str">
        <f t="shared" si="1"/>
        <v>*3377*</v>
      </c>
      <c r="D65" s="38" t="s">
        <v>58</v>
      </c>
      <c r="E65" s="117" t="s">
        <v>122</v>
      </c>
      <c r="F65" s="38" t="str">
        <f t="shared" si="0"/>
        <v>ARONYA CHOTWORAMEDNI</v>
      </c>
      <c r="G65" s="113" t="s">
        <v>190</v>
      </c>
      <c r="H65" s="113" t="s">
        <v>278</v>
      </c>
      <c r="I65" s="113" t="s">
        <v>198</v>
      </c>
      <c r="J65" s="113" t="s">
        <v>20</v>
      </c>
      <c r="K65" s="113" t="s">
        <v>205</v>
      </c>
      <c r="L65" s="38"/>
      <c r="M65" s="110">
        <v>0.22916666666666666</v>
      </c>
      <c r="N65" s="38"/>
      <c r="O65" s="38"/>
      <c r="P65" s="38"/>
      <c r="Q65" s="122"/>
      <c r="R65" s="116" t="s">
        <v>206</v>
      </c>
      <c r="S65" s="116" t="s">
        <v>214</v>
      </c>
    </row>
    <row r="66" spans="1:19" ht="40.799999999999997">
      <c r="A66" s="3">
        <v>64</v>
      </c>
      <c r="B66" s="56">
        <v>3378</v>
      </c>
      <c r="C66" s="101" t="str">
        <f t="shared" si="1"/>
        <v>*3378*</v>
      </c>
      <c r="D66" s="38" t="s">
        <v>57</v>
      </c>
      <c r="E66" s="117" t="s">
        <v>123</v>
      </c>
      <c r="F66" s="38" t="str">
        <f t="shared" si="0"/>
        <v>UTHAI PIM </v>
      </c>
      <c r="G66" s="113" t="s">
        <v>191</v>
      </c>
      <c r="H66" s="113" t="s">
        <v>277</v>
      </c>
      <c r="I66" s="113" t="s">
        <v>197</v>
      </c>
      <c r="J66" s="113" t="s">
        <v>20</v>
      </c>
      <c r="K66" s="113" t="s">
        <v>205</v>
      </c>
      <c r="L66" s="38"/>
      <c r="M66" s="110">
        <v>0.22916666666666666</v>
      </c>
      <c r="N66" s="38"/>
      <c r="O66" s="38"/>
      <c r="P66" s="38"/>
      <c r="Q66" s="122"/>
      <c r="R66" s="116"/>
      <c r="S66" s="116"/>
    </row>
    <row r="67" spans="1:19" ht="40.799999999999997">
      <c r="A67" s="3">
        <v>65</v>
      </c>
      <c r="B67" s="56">
        <v>3379</v>
      </c>
      <c r="C67" s="101" t="str">
        <f t="shared" si="1"/>
        <v>*3379*</v>
      </c>
      <c r="D67" s="38" t="s">
        <v>57</v>
      </c>
      <c r="E67" s="117" t="s">
        <v>124</v>
      </c>
      <c r="F67" s="38" t="str">
        <f t="shared" si="0"/>
        <v>ITTIPON UPPAPONG</v>
      </c>
      <c r="G67" s="113" t="s">
        <v>192</v>
      </c>
      <c r="H67" s="113" t="s">
        <v>277</v>
      </c>
      <c r="I67" s="113" t="s">
        <v>198</v>
      </c>
      <c r="J67" s="113" t="s">
        <v>20</v>
      </c>
      <c r="K67" s="113" t="s">
        <v>205</v>
      </c>
      <c r="L67" s="38"/>
      <c r="M67" s="110">
        <v>0.22916666666666666</v>
      </c>
      <c r="N67" s="38"/>
      <c r="O67" s="38"/>
      <c r="P67" s="38"/>
      <c r="Q67" s="122"/>
      <c r="R67" s="116" t="s">
        <v>206</v>
      </c>
      <c r="S67" s="116" t="s">
        <v>207</v>
      </c>
    </row>
    <row r="68" spans="1:19" ht="40.799999999999997">
      <c r="A68" s="3">
        <v>66</v>
      </c>
      <c r="B68" s="56">
        <v>3380</v>
      </c>
      <c r="C68" s="101" t="str">
        <f t="shared" ref="C68:C132" si="2">"*"&amp;B68&amp;"*"</f>
        <v>*3380*</v>
      </c>
      <c r="D68" s="38" t="s">
        <v>58</v>
      </c>
      <c r="E68" s="117" t="s">
        <v>125</v>
      </c>
      <c r="F68" s="38" t="str">
        <f t="shared" ref="F68:G132" si="3">UPPER(E68)</f>
        <v>AIYADA KULTAKHAM</v>
      </c>
      <c r="G68" s="113" t="s">
        <v>193</v>
      </c>
      <c r="H68" s="113" t="s">
        <v>278</v>
      </c>
      <c r="I68" s="113" t="s">
        <v>196</v>
      </c>
      <c r="J68" s="113" t="s">
        <v>20</v>
      </c>
      <c r="K68" s="113" t="s">
        <v>205</v>
      </c>
      <c r="L68" s="38"/>
      <c r="M68" s="110">
        <v>0.22916666666666666</v>
      </c>
      <c r="N68" s="38"/>
      <c r="O68" s="38"/>
      <c r="P68" s="38"/>
      <c r="Q68" s="122"/>
      <c r="R68" s="116"/>
      <c r="S68" s="116" t="s">
        <v>212</v>
      </c>
    </row>
    <row r="69" spans="1:19" ht="40.799999999999997">
      <c r="A69" s="3">
        <v>67</v>
      </c>
      <c r="B69" s="56">
        <v>3381</v>
      </c>
      <c r="C69" s="101" t="str">
        <f t="shared" si="2"/>
        <v>*3381*</v>
      </c>
      <c r="D69" s="38" t="s">
        <v>57</v>
      </c>
      <c r="E69" s="117" t="s">
        <v>126</v>
      </c>
      <c r="F69" s="38" t="str">
        <f t="shared" si="3"/>
        <v>JANTARABOON KIANGCHAIPAIPHANA</v>
      </c>
      <c r="G69" s="113" t="s">
        <v>194</v>
      </c>
      <c r="H69" s="113" t="s">
        <v>277</v>
      </c>
      <c r="I69" s="113" t="s">
        <v>198</v>
      </c>
      <c r="J69" s="113" t="s">
        <v>20</v>
      </c>
      <c r="K69" s="113" t="s">
        <v>205</v>
      </c>
      <c r="L69" s="38"/>
      <c r="M69" s="110">
        <v>0.22916666666666666</v>
      </c>
      <c r="N69" s="38"/>
      <c r="O69" s="38"/>
      <c r="P69" s="38"/>
      <c r="Q69" s="122"/>
      <c r="R69" s="116"/>
      <c r="S69" s="116"/>
    </row>
    <row r="70" spans="1:19" ht="40.799999999999997">
      <c r="A70" s="3">
        <v>68</v>
      </c>
      <c r="B70" s="56">
        <v>3382</v>
      </c>
      <c r="C70" s="101" t="str">
        <f t="shared" si="2"/>
        <v>*3382*</v>
      </c>
      <c r="D70" s="38" t="s">
        <v>58</v>
      </c>
      <c r="E70" s="117" t="s">
        <v>127</v>
      </c>
      <c r="F70" s="38" t="str">
        <f t="shared" si="3"/>
        <v>KHATTIYA HOMTHONG</v>
      </c>
      <c r="G70" s="113" t="s">
        <v>195</v>
      </c>
      <c r="H70" s="113" t="s">
        <v>278</v>
      </c>
      <c r="I70" s="113" t="s">
        <v>198</v>
      </c>
      <c r="J70" s="113" t="s">
        <v>20</v>
      </c>
      <c r="K70" s="113" t="s">
        <v>205</v>
      </c>
      <c r="L70" s="38"/>
      <c r="M70" s="110">
        <v>0.22916666666666666</v>
      </c>
      <c r="N70" s="38"/>
      <c r="O70" s="38"/>
      <c r="P70" s="38"/>
      <c r="Q70" s="122"/>
      <c r="R70" s="116"/>
      <c r="S70" s="116"/>
    </row>
    <row r="71" spans="1:19" ht="40.799999999999997">
      <c r="A71" s="3">
        <v>69</v>
      </c>
      <c r="B71" s="188">
        <v>3383</v>
      </c>
      <c r="C71" s="189" t="str">
        <f t="shared" si="2"/>
        <v>*3383*</v>
      </c>
      <c r="D71" s="190" t="s">
        <v>57</v>
      </c>
      <c r="E71" s="191" t="s">
        <v>304</v>
      </c>
      <c r="F71" s="190" t="str">
        <f t="shared" si="3"/>
        <v>SARAVUT CHAIBOONRUANG</v>
      </c>
      <c r="G71" s="192" t="s">
        <v>318</v>
      </c>
      <c r="H71" s="192" t="s">
        <v>277</v>
      </c>
      <c r="I71" s="192" t="s">
        <v>196</v>
      </c>
      <c r="J71" s="192" t="s">
        <v>20</v>
      </c>
      <c r="K71" s="192" t="s">
        <v>205</v>
      </c>
      <c r="L71" s="38"/>
      <c r="M71" s="110">
        <v>0.22916666666666666</v>
      </c>
      <c r="N71" s="38"/>
      <c r="O71" s="38"/>
      <c r="P71" s="38"/>
      <c r="Q71" s="122"/>
      <c r="R71" s="116"/>
      <c r="S71" s="116"/>
    </row>
    <row r="72" spans="1:19" ht="40.799999999999997">
      <c r="A72" s="3">
        <v>70</v>
      </c>
      <c r="B72" s="188">
        <v>3384</v>
      </c>
      <c r="C72" s="189" t="str">
        <f t="shared" si="2"/>
        <v>*3384*</v>
      </c>
      <c r="D72" s="190" t="s">
        <v>58</v>
      </c>
      <c r="E72" s="191" t="s">
        <v>305</v>
      </c>
      <c r="F72" s="190" t="str">
        <f t="shared" si="3"/>
        <v>SOPHA USUMANI</v>
      </c>
      <c r="G72" s="192" t="s">
        <v>319</v>
      </c>
      <c r="H72" s="192" t="s">
        <v>278</v>
      </c>
      <c r="I72" s="192" t="s">
        <v>196</v>
      </c>
      <c r="J72" s="192" t="s">
        <v>20</v>
      </c>
      <c r="K72" s="192" t="s">
        <v>205</v>
      </c>
      <c r="L72" s="38"/>
      <c r="M72" s="110">
        <v>0.22916666666666666</v>
      </c>
      <c r="N72" s="38"/>
      <c r="O72" s="38"/>
      <c r="P72" s="38"/>
      <c r="Q72" s="122"/>
      <c r="R72" s="116"/>
      <c r="S72" s="116"/>
    </row>
    <row r="73" spans="1:19" ht="40.799999999999997">
      <c r="A73" s="3">
        <v>71</v>
      </c>
      <c r="B73" s="188">
        <v>3385</v>
      </c>
      <c r="C73" s="189" t="str">
        <f t="shared" si="2"/>
        <v>*3385*</v>
      </c>
      <c r="D73" s="190" t="s">
        <v>57</v>
      </c>
      <c r="E73" s="191" t="s">
        <v>306</v>
      </c>
      <c r="F73" s="190" t="str">
        <f t="shared" si="3"/>
        <v>UDOM YAVILAS</v>
      </c>
      <c r="G73" s="192" t="s">
        <v>320</v>
      </c>
      <c r="H73" s="192" t="s">
        <v>277</v>
      </c>
      <c r="I73" s="192" t="s">
        <v>197</v>
      </c>
      <c r="J73" s="192" t="s">
        <v>20</v>
      </c>
      <c r="K73" s="192" t="s">
        <v>205</v>
      </c>
      <c r="L73" s="38"/>
      <c r="M73" s="110">
        <v>0.22916666666666666</v>
      </c>
      <c r="N73" s="38"/>
      <c r="O73" s="38"/>
      <c r="P73" s="38"/>
      <c r="Q73" s="122"/>
      <c r="R73" s="116"/>
      <c r="S73" s="116"/>
    </row>
    <row r="74" spans="1:19" ht="40.799999999999997">
      <c r="A74" s="3">
        <v>72</v>
      </c>
      <c r="B74" s="188">
        <v>3386</v>
      </c>
      <c r="C74" s="189" t="str">
        <f t="shared" si="2"/>
        <v>*3386*</v>
      </c>
      <c r="D74" s="190" t="s">
        <v>57</v>
      </c>
      <c r="E74" s="191" t="s">
        <v>307</v>
      </c>
      <c r="F74" s="190" t="str">
        <f t="shared" si="3"/>
        <v>ARTITH KORKIETSOPA</v>
      </c>
      <c r="G74" s="192" t="s">
        <v>321</v>
      </c>
      <c r="H74" s="192" t="s">
        <v>277</v>
      </c>
      <c r="I74" s="192" t="s">
        <v>198</v>
      </c>
      <c r="J74" s="192" t="s">
        <v>20</v>
      </c>
      <c r="K74" s="192" t="s">
        <v>205</v>
      </c>
      <c r="L74" s="38"/>
      <c r="M74" s="110">
        <v>0.22916666666666666</v>
      </c>
      <c r="N74" s="38"/>
      <c r="O74" s="38"/>
      <c r="P74" s="38"/>
      <c r="Q74" s="122"/>
      <c r="R74" s="116"/>
      <c r="S74" s="116"/>
    </row>
    <row r="75" spans="1:19" ht="40.799999999999997">
      <c r="A75" s="3">
        <v>73</v>
      </c>
      <c r="B75" s="188">
        <v>3387</v>
      </c>
      <c r="C75" s="189" t="str">
        <f t="shared" si="2"/>
        <v>*3387*</v>
      </c>
      <c r="D75" s="190" t="s">
        <v>58</v>
      </c>
      <c r="E75" s="191" t="s">
        <v>77</v>
      </c>
      <c r="F75" s="190" t="str">
        <f t="shared" si="3"/>
        <v>PIYAMAD SOMPAMOON</v>
      </c>
      <c r="G75" s="192" t="s">
        <v>144</v>
      </c>
      <c r="H75" s="192" t="s">
        <v>278</v>
      </c>
      <c r="I75" s="192" t="s">
        <v>196</v>
      </c>
      <c r="J75" s="192" t="s">
        <v>20</v>
      </c>
      <c r="K75" s="192" t="s">
        <v>205</v>
      </c>
      <c r="L75" s="38"/>
      <c r="M75" s="110">
        <v>0.22916666666666666</v>
      </c>
      <c r="N75" s="38"/>
      <c r="O75" s="38"/>
      <c r="P75" s="38"/>
      <c r="Q75" s="122"/>
      <c r="R75" s="116"/>
      <c r="S75" s="116"/>
    </row>
    <row r="76" spans="1:19" ht="40.799999999999997">
      <c r="A76" s="3">
        <v>74</v>
      </c>
      <c r="B76" s="188">
        <v>3388</v>
      </c>
      <c r="C76" s="189" t="str">
        <f t="shared" si="2"/>
        <v>*3388*</v>
      </c>
      <c r="D76" s="190" t="s">
        <v>57</v>
      </c>
      <c r="E76" s="191" t="s">
        <v>308</v>
      </c>
      <c r="F76" s="190" t="str">
        <f t="shared" si="3"/>
        <v>WORAWUT PHUENGPHOCHAROENPHAN</v>
      </c>
      <c r="G76" s="192" t="s">
        <v>322</v>
      </c>
      <c r="H76" s="192" t="s">
        <v>277</v>
      </c>
      <c r="I76" s="192" t="s">
        <v>196</v>
      </c>
      <c r="J76" s="192" t="s">
        <v>20</v>
      </c>
      <c r="K76" s="192" t="s">
        <v>205</v>
      </c>
      <c r="L76" s="38"/>
      <c r="M76" s="110">
        <v>0.22916666666666666</v>
      </c>
      <c r="N76" s="38"/>
      <c r="O76" s="38"/>
      <c r="P76" s="38"/>
      <c r="Q76" s="122"/>
      <c r="R76" s="116"/>
      <c r="S76" s="116"/>
    </row>
    <row r="77" spans="1:19" ht="40.799999999999997">
      <c r="A77" s="3">
        <v>75</v>
      </c>
      <c r="B77" s="188">
        <v>3389</v>
      </c>
      <c r="C77" s="189" t="str">
        <f t="shared" si="2"/>
        <v>*3389*</v>
      </c>
      <c r="D77" s="190" t="s">
        <v>57</v>
      </c>
      <c r="E77" s="191" t="s">
        <v>309</v>
      </c>
      <c r="F77" s="190" t="str">
        <f t="shared" si="3"/>
        <v>PANUPONG THAWAI</v>
      </c>
      <c r="G77" s="192" t="s">
        <v>323</v>
      </c>
      <c r="H77" s="192" t="s">
        <v>277</v>
      </c>
      <c r="I77" s="192" t="s">
        <v>198</v>
      </c>
      <c r="J77" s="192" t="s">
        <v>20</v>
      </c>
      <c r="K77" s="192" t="s">
        <v>205</v>
      </c>
      <c r="L77" s="38"/>
      <c r="M77" s="110">
        <v>0.22916666666666666</v>
      </c>
      <c r="N77" s="38"/>
      <c r="O77" s="38"/>
      <c r="P77" s="38"/>
      <c r="Q77" s="122"/>
      <c r="R77" s="116"/>
      <c r="S77" s="116"/>
    </row>
    <row r="78" spans="1:19" ht="40.799999999999997">
      <c r="A78" s="3">
        <v>76</v>
      </c>
      <c r="B78" s="188">
        <v>3390</v>
      </c>
      <c r="C78" s="189" t="str">
        <f t="shared" si="2"/>
        <v>*3390*</v>
      </c>
      <c r="D78" s="190" t="s">
        <v>58</v>
      </c>
      <c r="E78" s="191" t="s">
        <v>310</v>
      </c>
      <c r="F78" s="190" t="str">
        <f t="shared" si="3"/>
        <v>URAIWAN JINAPHO</v>
      </c>
      <c r="G78" s="192" t="s">
        <v>324</v>
      </c>
      <c r="H78" s="192" t="s">
        <v>278</v>
      </c>
      <c r="I78" s="192" t="s">
        <v>198</v>
      </c>
      <c r="J78" s="192" t="s">
        <v>20</v>
      </c>
      <c r="K78" s="192" t="s">
        <v>205</v>
      </c>
      <c r="L78" s="38"/>
      <c r="M78" s="110">
        <v>0.22916666666666666</v>
      </c>
      <c r="N78" s="38"/>
      <c r="O78" s="38"/>
      <c r="P78" s="38"/>
      <c r="Q78" s="122"/>
      <c r="R78" s="116"/>
      <c r="S78" s="116"/>
    </row>
    <row r="79" spans="1:19" ht="40.799999999999997">
      <c r="A79" s="3">
        <v>77</v>
      </c>
      <c r="B79" s="188">
        <v>3391</v>
      </c>
      <c r="C79" s="189" t="str">
        <f t="shared" si="2"/>
        <v>*3391*</v>
      </c>
      <c r="D79" s="190" t="s">
        <v>58</v>
      </c>
      <c r="E79" s="191" t="s">
        <v>311</v>
      </c>
      <c r="F79" s="190" t="str">
        <f t="shared" si="3"/>
        <v>SAMATCHA INTAPAI</v>
      </c>
      <c r="G79" s="192" t="s">
        <v>325</v>
      </c>
      <c r="H79" s="192" t="s">
        <v>278</v>
      </c>
      <c r="I79" s="192" t="s">
        <v>198</v>
      </c>
      <c r="J79" s="192" t="s">
        <v>20</v>
      </c>
      <c r="K79" s="192" t="s">
        <v>205</v>
      </c>
      <c r="L79" s="38"/>
      <c r="M79" s="110">
        <v>0.22916666666666666</v>
      </c>
      <c r="N79" s="38"/>
      <c r="O79" s="38"/>
      <c r="P79" s="38"/>
      <c r="Q79" s="122"/>
      <c r="R79" s="116"/>
      <c r="S79" s="116"/>
    </row>
    <row r="80" spans="1:19" ht="40.799999999999997">
      <c r="A80" s="3">
        <v>78</v>
      </c>
      <c r="B80" s="188">
        <v>3392</v>
      </c>
      <c r="C80" s="189" t="str">
        <f t="shared" si="2"/>
        <v>*3392*</v>
      </c>
      <c r="D80" s="190" t="s">
        <v>57</v>
      </c>
      <c r="E80" s="191" t="s">
        <v>312</v>
      </c>
      <c r="F80" s="190" t="str">
        <f t="shared" si="3"/>
        <v>SERI PHUPHISIT</v>
      </c>
      <c r="G80" s="192" t="s">
        <v>326</v>
      </c>
      <c r="H80" s="192" t="s">
        <v>277</v>
      </c>
      <c r="I80" s="192" t="s">
        <v>274</v>
      </c>
      <c r="J80" s="192" t="s">
        <v>20</v>
      </c>
      <c r="K80" s="192" t="s">
        <v>205</v>
      </c>
      <c r="L80" s="38"/>
      <c r="M80" s="110">
        <v>0.22916666666666666</v>
      </c>
      <c r="N80" s="38"/>
      <c r="O80" s="38"/>
      <c r="P80" s="38"/>
      <c r="Q80" s="122"/>
      <c r="R80" s="116"/>
      <c r="S80" s="116"/>
    </row>
    <row r="81" spans="1:19" ht="40.799999999999997">
      <c r="A81" s="3">
        <v>79</v>
      </c>
      <c r="B81" s="188">
        <v>3393</v>
      </c>
      <c r="C81" s="189" t="str">
        <f t="shared" si="2"/>
        <v>*3393*</v>
      </c>
      <c r="D81" s="190" t="s">
        <v>57</v>
      </c>
      <c r="E81" s="191" t="s">
        <v>313</v>
      </c>
      <c r="F81" s="190" t="str">
        <f t="shared" si="3"/>
        <v>CHANKKAPHUN PUNTA</v>
      </c>
      <c r="G81" s="192" t="s">
        <v>327</v>
      </c>
      <c r="H81" s="192" t="s">
        <v>277</v>
      </c>
      <c r="I81" s="192" t="s">
        <v>196</v>
      </c>
      <c r="J81" s="192" t="s">
        <v>20</v>
      </c>
      <c r="K81" s="192" t="s">
        <v>205</v>
      </c>
      <c r="L81" s="38"/>
      <c r="M81" s="110">
        <v>0.22916666666666666</v>
      </c>
      <c r="N81" s="38"/>
      <c r="O81" s="38"/>
      <c r="P81" s="38"/>
      <c r="Q81" s="122"/>
      <c r="R81" s="116"/>
      <c r="S81" s="116"/>
    </row>
    <row r="82" spans="1:19" ht="40.799999999999997">
      <c r="A82" s="3">
        <v>80</v>
      </c>
      <c r="B82" s="188">
        <v>3394</v>
      </c>
      <c r="C82" s="189" t="str">
        <f t="shared" si="2"/>
        <v>*3394*</v>
      </c>
      <c r="D82" s="190" t="s">
        <v>57</v>
      </c>
      <c r="E82" s="191" t="s">
        <v>314</v>
      </c>
      <c r="F82" s="190" t="str">
        <f t="shared" si="3"/>
        <v>CHOTIPHAT SRITANAWARAKIT</v>
      </c>
      <c r="G82" s="192" t="s">
        <v>328</v>
      </c>
      <c r="H82" s="192" t="s">
        <v>277</v>
      </c>
      <c r="I82" s="192" t="s">
        <v>198</v>
      </c>
      <c r="J82" s="192" t="s">
        <v>20</v>
      </c>
      <c r="K82" s="192" t="s">
        <v>205</v>
      </c>
      <c r="L82" s="38"/>
      <c r="M82" s="110">
        <v>0.22916666666666666</v>
      </c>
      <c r="N82" s="38"/>
      <c r="O82" s="38"/>
      <c r="P82" s="38"/>
      <c r="Q82" s="122"/>
      <c r="R82" s="116"/>
      <c r="S82" s="116"/>
    </row>
    <row r="83" spans="1:19" ht="40.799999999999997">
      <c r="A83" s="3">
        <v>81</v>
      </c>
      <c r="B83" s="188">
        <v>3395</v>
      </c>
      <c r="C83" s="189" t="str">
        <f t="shared" si="2"/>
        <v>*3395*</v>
      </c>
      <c r="D83" s="190" t="s">
        <v>57</v>
      </c>
      <c r="E83" s="191" t="s">
        <v>315</v>
      </c>
      <c r="F83" s="190" t="str">
        <f t="shared" si="3"/>
        <v>BANCHAPOL DHIRANETRA</v>
      </c>
      <c r="G83" s="192" t="s">
        <v>329</v>
      </c>
      <c r="H83" s="192" t="s">
        <v>277</v>
      </c>
      <c r="I83" s="192" t="s">
        <v>197</v>
      </c>
      <c r="J83" s="192" t="s">
        <v>20</v>
      </c>
      <c r="K83" s="192" t="s">
        <v>205</v>
      </c>
      <c r="L83" s="38"/>
      <c r="M83" s="110">
        <v>0.22916666666666666</v>
      </c>
      <c r="N83" s="38"/>
      <c r="O83" s="38"/>
      <c r="P83" s="38"/>
      <c r="Q83" s="122"/>
      <c r="R83" s="116"/>
      <c r="S83" s="116"/>
    </row>
    <row r="84" spans="1:19" ht="40.799999999999997">
      <c r="A84" s="3">
        <v>82</v>
      </c>
      <c r="B84" s="188">
        <v>3396</v>
      </c>
      <c r="C84" s="189" t="str">
        <f t="shared" si="2"/>
        <v>*3396*</v>
      </c>
      <c r="D84" s="190" t="s">
        <v>58</v>
      </c>
      <c r="E84" s="191" t="s">
        <v>316</v>
      </c>
      <c r="F84" s="190" t="str">
        <f t="shared" si="3"/>
        <v>PHATCHARIDA THAEPTHONG</v>
      </c>
      <c r="G84" s="192" t="s">
        <v>330</v>
      </c>
      <c r="H84" s="192" t="s">
        <v>278</v>
      </c>
      <c r="I84" s="192" t="s">
        <v>198</v>
      </c>
      <c r="J84" s="192" t="s">
        <v>20</v>
      </c>
      <c r="K84" s="192" t="s">
        <v>205</v>
      </c>
      <c r="L84" s="38"/>
      <c r="M84" s="110">
        <v>0.22916666666666666</v>
      </c>
      <c r="N84" s="38"/>
      <c r="O84" s="38"/>
      <c r="P84" s="38"/>
      <c r="Q84" s="122"/>
      <c r="R84" s="116"/>
      <c r="S84" s="116"/>
    </row>
    <row r="85" spans="1:19" ht="40.799999999999997">
      <c r="A85" s="3">
        <v>83</v>
      </c>
      <c r="B85" s="188">
        <v>3397</v>
      </c>
      <c r="C85" s="189" t="str">
        <f t="shared" si="2"/>
        <v>*3397*</v>
      </c>
      <c r="D85" s="190" t="s">
        <v>57</v>
      </c>
      <c r="E85" s="191" t="s">
        <v>317</v>
      </c>
      <c r="F85" s="190" t="str">
        <f t="shared" si="3"/>
        <v>VINCENT ARQUE</v>
      </c>
      <c r="G85" s="192" t="s">
        <v>331</v>
      </c>
      <c r="H85" s="192" t="s">
        <v>277</v>
      </c>
      <c r="I85" s="192" t="s">
        <v>198</v>
      </c>
      <c r="J85" s="192" t="s">
        <v>20</v>
      </c>
      <c r="K85" s="192" t="s">
        <v>205</v>
      </c>
      <c r="L85" s="38"/>
      <c r="M85" s="110">
        <v>0.22916666666666666</v>
      </c>
      <c r="N85" s="38"/>
      <c r="O85" s="38"/>
      <c r="P85" s="38"/>
      <c r="Q85" s="122"/>
      <c r="R85" s="116"/>
      <c r="S85" s="116"/>
    </row>
    <row r="86" spans="1:19" ht="40.799999999999997">
      <c r="A86" s="3">
        <v>84</v>
      </c>
      <c r="B86" s="188">
        <v>3398</v>
      </c>
      <c r="C86" s="189" t="str">
        <f t="shared" si="2"/>
        <v>*3398*</v>
      </c>
      <c r="D86" s="190" t="s">
        <v>58</v>
      </c>
      <c r="E86" s="191" t="s">
        <v>333</v>
      </c>
      <c r="F86" s="190" t="str">
        <f t="shared" si="3"/>
        <v>NUTCHAYA BOONTHUM</v>
      </c>
      <c r="G86" s="192" t="s">
        <v>335</v>
      </c>
      <c r="H86" s="192" t="s">
        <v>278</v>
      </c>
      <c r="I86" s="192" t="s">
        <v>198</v>
      </c>
      <c r="J86" s="192" t="s">
        <v>20</v>
      </c>
      <c r="K86" s="192" t="s">
        <v>205</v>
      </c>
      <c r="L86" s="38"/>
      <c r="M86" s="110">
        <v>0.22916666666666666</v>
      </c>
      <c r="N86" s="38"/>
      <c r="O86" s="38"/>
      <c r="P86" s="38"/>
      <c r="Q86" s="202">
        <v>34634</v>
      </c>
      <c r="R86" s="116"/>
      <c r="S86" s="116"/>
    </row>
    <row r="87" spans="1:19" ht="40.799999999999997">
      <c r="A87" s="3">
        <v>85</v>
      </c>
      <c r="B87" s="188">
        <v>3399</v>
      </c>
      <c r="C87" s="189" t="str">
        <f t="shared" si="2"/>
        <v>*3399*</v>
      </c>
      <c r="D87" s="190" t="s">
        <v>57</v>
      </c>
      <c r="E87" s="191" t="s">
        <v>334</v>
      </c>
      <c r="F87" s="190" t="str">
        <f t="shared" si="3"/>
        <v>KAMONNUT SUWANNA</v>
      </c>
      <c r="G87" s="192" t="s">
        <v>336</v>
      </c>
      <c r="H87" s="192" t="s">
        <v>277</v>
      </c>
      <c r="I87" s="192" t="s">
        <v>198</v>
      </c>
      <c r="J87" s="192" t="s">
        <v>20</v>
      </c>
      <c r="K87" s="192" t="s">
        <v>205</v>
      </c>
      <c r="L87" s="38"/>
      <c r="M87" s="110">
        <v>0.22916666666666666</v>
      </c>
      <c r="N87" s="38"/>
      <c r="O87" s="38"/>
      <c r="P87" s="38"/>
      <c r="Q87" s="202">
        <v>33059</v>
      </c>
      <c r="R87" s="116"/>
      <c r="S87" s="116"/>
    </row>
    <row r="88" spans="1:19" ht="40.799999999999997">
      <c r="A88" s="3">
        <v>86</v>
      </c>
      <c r="B88" s="188">
        <v>3301</v>
      </c>
      <c r="C88" s="189" t="str">
        <f t="shared" si="2"/>
        <v>*3301*</v>
      </c>
      <c r="D88" s="190" t="s">
        <v>57</v>
      </c>
      <c r="E88" s="191" t="s">
        <v>340</v>
      </c>
      <c r="F88" s="190" t="str">
        <f t="shared" si="3"/>
        <v>BLAKE WICHTOWSKI</v>
      </c>
      <c r="G88" s="190" t="str">
        <f t="shared" si="3"/>
        <v>BLAKE WICHTOWSKI</v>
      </c>
      <c r="H88" s="192" t="s">
        <v>277</v>
      </c>
      <c r="I88" s="192" t="s">
        <v>198</v>
      </c>
      <c r="J88" s="192" t="s">
        <v>20</v>
      </c>
      <c r="K88" s="192" t="s">
        <v>205</v>
      </c>
      <c r="L88" s="38"/>
      <c r="M88" s="110">
        <v>0.22916666666666666</v>
      </c>
      <c r="N88" s="38"/>
      <c r="O88" s="38"/>
      <c r="P88" s="38"/>
      <c r="Q88" s="202">
        <v>34357</v>
      </c>
      <c r="R88" s="116"/>
      <c r="S88" s="116"/>
    </row>
    <row r="89" spans="1:19" ht="40.799999999999997">
      <c r="A89" s="3">
        <v>87</v>
      </c>
      <c r="B89" s="188">
        <v>3302</v>
      </c>
      <c r="C89" s="189" t="str">
        <f t="shared" si="2"/>
        <v>*3302*</v>
      </c>
      <c r="D89" s="190"/>
      <c r="E89" s="191"/>
      <c r="F89" s="190" t="str">
        <f t="shared" si="3"/>
        <v/>
      </c>
      <c r="G89" s="192"/>
      <c r="H89" s="192"/>
      <c r="I89" s="192"/>
      <c r="J89" s="192"/>
      <c r="K89" s="192"/>
      <c r="L89" s="38"/>
      <c r="M89" s="110">
        <v>0.22916666666666666</v>
      </c>
      <c r="N89" s="38"/>
      <c r="O89" s="38"/>
      <c r="P89" s="38"/>
      <c r="Q89" s="122"/>
      <c r="R89" s="116"/>
      <c r="S89" s="116"/>
    </row>
    <row r="90" spans="1:19" ht="41.4" thickBot="1">
      <c r="A90" s="108">
        <v>88</v>
      </c>
      <c r="B90" s="193">
        <v>3303</v>
      </c>
      <c r="C90" s="194" t="str">
        <f t="shared" si="2"/>
        <v>*3303*</v>
      </c>
      <c r="D90" s="195"/>
      <c r="E90" s="196"/>
      <c r="F90" s="195" t="str">
        <f t="shared" si="3"/>
        <v/>
      </c>
      <c r="G90" s="197"/>
      <c r="H90" s="197"/>
      <c r="I90" s="197"/>
      <c r="J90" s="197"/>
      <c r="K90" s="197"/>
      <c r="L90" s="123"/>
      <c r="M90" s="124">
        <v>0.22916666666666666</v>
      </c>
      <c r="N90" s="123"/>
      <c r="O90" s="123"/>
      <c r="P90" s="123"/>
      <c r="Q90" s="125"/>
      <c r="R90" s="126"/>
      <c r="S90" s="116"/>
    </row>
    <row r="91" spans="1:19" ht="40.799999999999997">
      <c r="A91" s="102">
        <v>89</v>
      </c>
      <c r="B91" s="103">
        <v>5015</v>
      </c>
      <c r="C91" s="104" t="str">
        <f t="shared" si="2"/>
        <v>*5015*</v>
      </c>
      <c r="D91" s="105" t="s">
        <v>58</v>
      </c>
      <c r="E91" s="106" t="s">
        <v>215</v>
      </c>
      <c r="F91" s="105" t="str">
        <f t="shared" si="3"/>
        <v>JIAMJIT TANOMSAB</v>
      </c>
      <c r="G91" s="102" t="s">
        <v>243</v>
      </c>
      <c r="H91" s="187" t="s">
        <v>278</v>
      </c>
      <c r="I91" s="102" t="s">
        <v>197</v>
      </c>
      <c r="J91" s="102" t="s">
        <v>20</v>
      </c>
      <c r="K91" s="102" t="s">
        <v>46</v>
      </c>
      <c r="L91" s="105"/>
      <c r="M91" s="111">
        <v>0.20833333333333334</v>
      </c>
      <c r="N91" s="105"/>
      <c r="O91" s="105"/>
      <c r="P91" s="105"/>
      <c r="Q91" s="107"/>
      <c r="R91" t="s">
        <v>208</v>
      </c>
      <c r="S91" t="s">
        <v>210</v>
      </c>
    </row>
    <row r="92" spans="1:19" ht="40.799999999999997">
      <c r="A92" s="3">
        <v>90</v>
      </c>
      <c r="B92" s="56">
        <v>5016</v>
      </c>
      <c r="C92" s="101" t="str">
        <f t="shared" si="2"/>
        <v>*5016*</v>
      </c>
      <c r="D92" s="5" t="s">
        <v>58</v>
      </c>
      <c r="E92" s="34" t="s">
        <v>216</v>
      </c>
      <c r="F92" s="5" t="str">
        <f t="shared" si="3"/>
        <v>NARUDAPA WATTANATEERAPAK</v>
      </c>
      <c r="G92" s="3" t="s">
        <v>244</v>
      </c>
      <c r="H92" s="37" t="s">
        <v>278</v>
      </c>
      <c r="I92" s="3" t="s">
        <v>196</v>
      </c>
      <c r="J92" s="3" t="s">
        <v>20</v>
      </c>
      <c r="K92" s="3" t="s">
        <v>46</v>
      </c>
      <c r="L92" s="5"/>
      <c r="M92" s="112">
        <v>0.20833333333333334</v>
      </c>
      <c r="N92" s="5"/>
      <c r="O92" s="5"/>
      <c r="P92" s="5"/>
      <c r="Q92" s="60"/>
      <c r="R92" t="s">
        <v>206</v>
      </c>
      <c r="S92" t="s">
        <v>212</v>
      </c>
    </row>
    <row r="93" spans="1:19" ht="40.799999999999997">
      <c r="A93" s="3">
        <v>91</v>
      </c>
      <c r="B93" s="56">
        <v>5017</v>
      </c>
      <c r="C93" s="101" t="str">
        <f t="shared" si="2"/>
        <v>*5017*</v>
      </c>
      <c r="D93" s="5" t="s">
        <v>58</v>
      </c>
      <c r="E93" s="34" t="s">
        <v>217</v>
      </c>
      <c r="F93" s="5" t="str">
        <f t="shared" si="3"/>
        <v>SIRILAX ROMPHONGERN</v>
      </c>
      <c r="G93" s="3" t="s">
        <v>245</v>
      </c>
      <c r="H93" s="37" t="s">
        <v>278</v>
      </c>
      <c r="I93" s="3" t="s">
        <v>197</v>
      </c>
      <c r="J93" s="3" t="s">
        <v>20</v>
      </c>
      <c r="K93" s="3" t="s">
        <v>46</v>
      </c>
      <c r="L93" s="5"/>
      <c r="M93" s="112">
        <v>0.20833333333333334</v>
      </c>
      <c r="N93" s="5"/>
      <c r="O93" s="5"/>
      <c r="P93" s="5"/>
      <c r="Q93" s="60"/>
      <c r="R93" t="s">
        <v>208</v>
      </c>
      <c r="S93" t="s">
        <v>212</v>
      </c>
    </row>
    <row r="94" spans="1:19" ht="40.799999999999997">
      <c r="A94" s="3">
        <v>92</v>
      </c>
      <c r="B94" s="56">
        <v>5018</v>
      </c>
      <c r="C94" s="101" t="str">
        <f t="shared" si="2"/>
        <v>*5018*</v>
      </c>
      <c r="D94" s="5" t="s">
        <v>57</v>
      </c>
      <c r="E94" s="34" t="s">
        <v>218</v>
      </c>
      <c r="F94" s="5" t="str">
        <f t="shared" si="3"/>
        <v>MANOP MAEJIT</v>
      </c>
      <c r="G94" s="3" t="s">
        <v>246</v>
      </c>
      <c r="H94" s="3" t="s">
        <v>277</v>
      </c>
      <c r="I94" s="3" t="s">
        <v>196</v>
      </c>
      <c r="J94" s="3" t="s">
        <v>20</v>
      </c>
      <c r="K94" s="3" t="s">
        <v>46</v>
      </c>
      <c r="L94" s="5"/>
      <c r="M94" s="112">
        <v>0.20833333333333334</v>
      </c>
      <c r="N94" s="5"/>
      <c r="O94" s="5"/>
      <c r="P94" s="5"/>
      <c r="Q94" s="60"/>
      <c r="R94" t="s">
        <v>206</v>
      </c>
      <c r="S94" t="s">
        <v>209</v>
      </c>
    </row>
    <row r="95" spans="1:19" ht="40.799999999999997">
      <c r="A95" s="3">
        <v>93</v>
      </c>
      <c r="B95" s="56">
        <v>5019</v>
      </c>
      <c r="C95" s="101" t="str">
        <f t="shared" si="2"/>
        <v>*5019*</v>
      </c>
      <c r="D95" s="5" t="s">
        <v>57</v>
      </c>
      <c r="E95" s="34" t="s">
        <v>219</v>
      </c>
      <c r="F95" s="5" t="str">
        <f t="shared" si="3"/>
        <v>JAIYASIDHA GLANKWAHMDEE</v>
      </c>
      <c r="G95" s="3" t="s">
        <v>247</v>
      </c>
      <c r="H95" s="3" t="s">
        <v>277</v>
      </c>
      <c r="I95" s="3" t="s">
        <v>198</v>
      </c>
      <c r="J95" s="3" t="s">
        <v>20</v>
      </c>
      <c r="K95" s="3" t="s">
        <v>46</v>
      </c>
      <c r="L95" s="5"/>
      <c r="M95" s="112">
        <v>0.20833333333333334</v>
      </c>
      <c r="N95" s="5"/>
      <c r="O95" s="5"/>
      <c r="P95" s="5"/>
      <c r="Q95" s="60"/>
      <c r="R95" t="s">
        <v>208</v>
      </c>
      <c r="S95" t="s">
        <v>213</v>
      </c>
    </row>
    <row r="96" spans="1:19" ht="40.799999999999997">
      <c r="A96" s="3">
        <v>94</v>
      </c>
      <c r="B96" s="56">
        <v>5020</v>
      </c>
      <c r="C96" s="101" t="str">
        <f t="shared" si="2"/>
        <v>*5020*</v>
      </c>
      <c r="D96" s="5" t="s">
        <v>57</v>
      </c>
      <c r="E96" s="34" t="s">
        <v>220</v>
      </c>
      <c r="F96" s="5" t="str">
        <f t="shared" si="3"/>
        <v>BORWORNVIDHYA GLANKWAHMDEE</v>
      </c>
      <c r="G96" s="3" t="s">
        <v>248</v>
      </c>
      <c r="H96" s="3" t="s">
        <v>277</v>
      </c>
      <c r="I96" s="3" t="s">
        <v>274</v>
      </c>
      <c r="J96" s="3" t="s">
        <v>20</v>
      </c>
      <c r="K96" s="3" t="s">
        <v>46</v>
      </c>
      <c r="L96" s="5"/>
      <c r="M96" s="112">
        <v>0.20833333333333334</v>
      </c>
      <c r="N96" s="5"/>
      <c r="O96" s="5"/>
      <c r="P96" s="5"/>
      <c r="Q96" s="60"/>
      <c r="R96" t="s">
        <v>208</v>
      </c>
      <c r="S96" t="s">
        <v>211</v>
      </c>
    </row>
    <row r="97" spans="1:19" ht="40.799999999999997">
      <c r="A97" s="3">
        <v>95</v>
      </c>
      <c r="B97" s="56">
        <v>5021</v>
      </c>
      <c r="C97" s="101" t="str">
        <f t="shared" si="2"/>
        <v>*5021*</v>
      </c>
      <c r="D97" s="5" t="s">
        <v>58</v>
      </c>
      <c r="E97" s="34" t="s">
        <v>221</v>
      </c>
      <c r="F97" s="5" t="str">
        <f t="shared" si="3"/>
        <v>KANOKRUD GLANKWAHMDEE</v>
      </c>
      <c r="G97" s="3" t="s">
        <v>249</v>
      </c>
      <c r="H97" s="37" t="s">
        <v>278</v>
      </c>
      <c r="I97" s="3" t="s">
        <v>274</v>
      </c>
      <c r="J97" s="3" t="s">
        <v>20</v>
      </c>
      <c r="K97" s="3" t="s">
        <v>46</v>
      </c>
      <c r="L97" s="5"/>
      <c r="M97" s="112">
        <v>0.20833333333333334</v>
      </c>
      <c r="N97" s="5"/>
      <c r="O97" s="5"/>
      <c r="P97" s="5"/>
      <c r="Q97" s="60"/>
      <c r="R97" t="s">
        <v>208</v>
      </c>
      <c r="S97" t="s">
        <v>210</v>
      </c>
    </row>
    <row r="98" spans="1:19" ht="40.799999999999997">
      <c r="A98" s="3">
        <v>96</v>
      </c>
      <c r="B98" s="56">
        <v>5022</v>
      </c>
      <c r="C98" s="101" t="str">
        <f t="shared" si="2"/>
        <v>*5022*</v>
      </c>
      <c r="D98" s="5" t="s">
        <v>57</v>
      </c>
      <c r="E98" s="34" t="s">
        <v>222</v>
      </c>
      <c r="F98" s="5" t="str">
        <f t="shared" si="3"/>
        <v>WEERAWAT SHATAREEYAKUL</v>
      </c>
      <c r="G98" s="3" t="s">
        <v>250</v>
      </c>
      <c r="H98" s="3" t="s">
        <v>277</v>
      </c>
      <c r="I98" s="3" t="s">
        <v>196</v>
      </c>
      <c r="J98" s="3" t="s">
        <v>20</v>
      </c>
      <c r="K98" s="3" t="s">
        <v>46</v>
      </c>
      <c r="L98" s="5"/>
      <c r="M98" s="112">
        <v>0.20833333333333334</v>
      </c>
      <c r="N98" s="5"/>
      <c r="O98" s="5"/>
      <c r="P98" s="5"/>
      <c r="Q98" s="60"/>
      <c r="R98" t="s">
        <v>208</v>
      </c>
      <c r="S98" t="s">
        <v>213</v>
      </c>
    </row>
    <row r="99" spans="1:19" ht="40.799999999999997">
      <c r="A99" s="3">
        <v>97</v>
      </c>
      <c r="B99" s="56">
        <v>5023</v>
      </c>
      <c r="C99" s="101" t="str">
        <f t="shared" si="2"/>
        <v>*5023*</v>
      </c>
      <c r="D99" s="5" t="s">
        <v>58</v>
      </c>
      <c r="E99" s="36" t="s">
        <v>223</v>
      </c>
      <c r="F99" s="5" t="str">
        <f t="shared" si="3"/>
        <v>KUNNIKA TONSAKUL</v>
      </c>
      <c r="G99" s="37" t="s">
        <v>251</v>
      </c>
      <c r="H99" s="37" t="s">
        <v>278</v>
      </c>
      <c r="I99" s="3" t="s">
        <v>197</v>
      </c>
      <c r="J99" s="3" t="s">
        <v>20</v>
      </c>
      <c r="K99" s="3" t="s">
        <v>46</v>
      </c>
      <c r="L99" s="38"/>
      <c r="M99" s="112">
        <v>0.20833333333333334</v>
      </c>
      <c r="N99" s="38"/>
      <c r="O99" s="38"/>
      <c r="P99" s="38"/>
      <c r="Q99" s="60"/>
      <c r="R99" t="s">
        <v>206</v>
      </c>
      <c r="S99" t="s">
        <v>212</v>
      </c>
    </row>
    <row r="100" spans="1:19" ht="40.799999999999997">
      <c r="A100" s="3">
        <v>98</v>
      </c>
      <c r="B100" s="56">
        <v>5024</v>
      </c>
      <c r="C100" s="101" t="str">
        <f t="shared" si="2"/>
        <v>*5024*</v>
      </c>
      <c r="D100" s="5" t="s">
        <v>58</v>
      </c>
      <c r="E100" s="36" t="s">
        <v>224</v>
      </c>
      <c r="F100" s="5" t="str">
        <f t="shared" si="3"/>
        <v>ROSSARIN JINATHAM</v>
      </c>
      <c r="G100" s="57" t="s">
        <v>252</v>
      </c>
      <c r="H100" s="37" t="s">
        <v>278</v>
      </c>
      <c r="I100" s="3" t="s">
        <v>196</v>
      </c>
      <c r="J100" s="3" t="s">
        <v>20</v>
      </c>
      <c r="K100" s="3" t="s">
        <v>46</v>
      </c>
      <c r="L100" s="38"/>
      <c r="M100" s="112">
        <v>0.20833333333333334</v>
      </c>
      <c r="N100" s="38"/>
      <c r="O100" s="38"/>
      <c r="P100" s="38"/>
      <c r="Q100" s="60"/>
      <c r="R100" t="s">
        <v>208</v>
      </c>
      <c r="S100" t="s">
        <v>212</v>
      </c>
    </row>
    <row r="101" spans="1:19" ht="40.799999999999997">
      <c r="A101" s="3">
        <v>99</v>
      </c>
      <c r="B101" s="56">
        <v>5025</v>
      </c>
      <c r="C101" s="101" t="str">
        <f t="shared" si="2"/>
        <v>*5025*</v>
      </c>
      <c r="D101" s="5" t="s">
        <v>57</v>
      </c>
      <c r="E101" s="36" t="s">
        <v>225</v>
      </c>
      <c r="F101" s="5" t="str">
        <f t="shared" si="3"/>
        <v>NOTTHAKIT KASEE</v>
      </c>
      <c r="G101" s="3" t="s">
        <v>253</v>
      </c>
      <c r="H101" s="3" t="s">
        <v>277</v>
      </c>
      <c r="I101" s="3" t="s">
        <v>197</v>
      </c>
      <c r="J101" s="3" t="s">
        <v>20</v>
      </c>
      <c r="K101" s="3" t="s">
        <v>46</v>
      </c>
      <c r="L101" s="38"/>
      <c r="M101" s="112">
        <v>0.20833333333333334</v>
      </c>
      <c r="N101" s="38"/>
      <c r="O101" s="38"/>
      <c r="P101" s="38"/>
      <c r="Q101" s="60"/>
      <c r="R101" t="s">
        <v>206</v>
      </c>
      <c r="S101" t="s">
        <v>207</v>
      </c>
    </row>
    <row r="102" spans="1:19" ht="40.799999999999997">
      <c r="A102" s="3">
        <v>100</v>
      </c>
      <c r="B102" s="56">
        <v>5026</v>
      </c>
      <c r="C102" s="101" t="str">
        <f t="shared" si="2"/>
        <v>*5026*</v>
      </c>
      <c r="D102" s="5" t="s">
        <v>58</v>
      </c>
      <c r="E102" s="36" t="s">
        <v>226</v>
      </c>
      <c r="F102" s="5" t="str">
        <f t="shared" si="3"/>
        <v>MALILA KOSURA</v>
      </c>
      <c r="G102" s="57" t="s">
        <v>254</v>
      </c>
      <c r="H102" s="37" t="s">
        <v>278</v>
      </c>
      <c r="I102" s="3" t="s">
        <v>197</v>
      </c>
      <c r="J102" s="3" t="s">
        <v>20</v>
      </c>
      <c r="K102" s="3" t="s">
        <v>46</v>
      </c>
      <c r="L102" s="38"/>
      <c r="M102" s="112">
        <v>0.20833333333333334</v>
      </c>
      <c r="N102" s="38"/>
      <c r="O102" s="38"/>
      <c r="P102" s="38"/>
      <c r="Q102" s="60"/>
      <c r="R102" t="s">
        <v>206</v>
      </c>
      <c r="S102" t="s">
        <v>210</v>
      </c>
    </row>
    <row r="103" spans="1:19" ht="40.799999999999997">
      <c r="A103" s="3">
        <v>101</v>
      </c>
      <c r="B103" s="56">
        <v>5027</v>
      </c>
      <c r="C103" s="101" t="str">
        <f t="shared" si="2"/>
        <v>*5027*</v>
      </c>
      <c r="D103" s="5" t="s">
        <v>58</v>
      </c>
      <c r="E103" s="36" t="s">
        <v>227</v>
      </c>
      <c r="F103" s="5" t="str">
        <f t="shared" si="3"/>
        <v>UMAPORN TIRAWAT</v>
      </c>
      <c r="G103" s="57" t="s">
        <v>255</v>
      </c>
      <c r="H103" s="37" t="s">
        <v>278</v>
      </c>
      <c r="I103" s="3" t="s">
        <v>197</v>
      </c>
      <c r="J103" s="3" t="s">
        <v>20</v>
      </c>
      <c r="K103" s="3" t="s">
        <v>46</v>
      </c>
      <c r="L103" s="38"/>
      <c r="M103" s="112">
        <v>0.20833333333333334</v>
      </c>
      <c r="N103" s="38"/>
      <c r="O103" s="38"/>
      <c r="P103" s="38"/>
      <c r="Q103" s="60"/>
      <c r="R103" t="s">
        <v>206</v>
      </c>
      <c r="S103" t="s">
        <v>209</v>
      </c>
    </row>
    <row r="104" spans="1:19" ht="40.799999999999997">
      <c r="A104" s="3">
        <v>102</v>
      </c>
      <c r="B104" s="56">
        <v>5028</v>
      </c>
      <c r="C104" s="101" t="str">
        <f t="shared" si="2"/>
        <v>*5028*</v>
      </c>
      <c r="D104" s="5" t="s">
        <v>57</v>
      </c>
      <c r="E104" s="36" t="s">
        <v>228</v>
      </c>
      <c r="F104" s="5" t="str">
        <f t="shared" si="3"/>
        <v>ANEK PATTAMALUM</v>
      </c>
      <c r="G104" s="37" t="s">
        <v>256</v>
      </c>
      <c r="H104" s="3" t="s">
        <v>277</v>
      </c>
      <c r="I104" s="3" t="s">
        <v>197</v>
      </c>
      <c r="J104" s="3" t="s">
        <v>20</v>
      </c>
      <c r="K104" s="3" t="s">
        <v>46</v>
      </c>
      <c r="L104" s="38"/>
      <c r="M104" s="112">
        <v>0.20833333333333334</v>
      </c>
      <c r="N104" s="38"/>
      <c r="O104" s="38"/>
      <c r="P104" s="38"/>
      <c r="Q104" s="60"/>
      <c r="R104" t="s">
        <v>206</v>
      </c>
      <c r="S104" t="s">
        <v>209</v>
      </c>
    </row>
    <row r="105" spans="1:19" ht="40.799999999999997">
      <c r="A105" s="3">
        <v>103</v>
      </c>
      <c r="B105" s="56">
        <v>5029</v>
      </c>
      <c r="C105" s="101" t="str">
        <f t="shared" si="2"/>
        <v>*5029*</v>
      </c>
      <c r="D105" s="5" t="s">
        <v>57</v>
      </c>
      <c r="E105" s="36" t="s">
        <v>229</v>
      </c>
      <c r="F105" s="5" t="str">
        <f t="shared" si="3"/>
        <v>ALBRECHT DELFT PAGADUAN</v>
      </c>
      <c r="G105" s="57" t="s">
        <v>257</v>
      </c>
      <c r="H105" s="3" t="s">
        <v>277</v>
      </c>
      <c r="I105" s="3" t="s">
        <v>196</v>
      </c>
      <c r="J105" s="3" t="s">
        <v>271</v>
      </c>
      <c r="K105" s="3" t="s">
        <v>46</v>
      </c>
      <c r="L105" s="38"/>
      <c r="M105" s="112">
        <v>0.20833333333333334</v>
      </c>
      <c r="N105" s="38"/>
      <c r="O105" s="38"/>
      <c r="P105" s="38"/>
      <c r="Q105" s="60"/>
      <c r="R105" t="s">
        <v>208</v>
      </c>
      <c r="S105" t="s">
        <v>212</v>
      </c>
    </row>
    <row r="106" spans="1:19" ht="40.799999999999997">
      <c r="A106" s="3">
        <v>104</v>
      </c>
      <c r="B106" s="56">
        <v>5030</v>
      </c>
      <c r="C106" s="101" t="str">
        <f t="shared" si="2"/>
        <v>*5030*</v>
      </c>
      <c r="D106" s="5" t="s">
        <v>57</v>
      </c>
      <c r="E106" s="36" t="s">
        <v>230</v>
      </c>
      <c r="F106" s="5" t="str">
        <f t="shared" si="3"/>
        <v>WEERAWUT PHABMEK</v>
      </c>
      <c r="G106" s="57" t="s">
        <v>258</v>
      </c>
      <c r="H106" s="3" t="s">
        <v>277</v>
      </c>
      <c r="I106" s="3" t="s">
        <v>197</v>
      </c>
      <c r="J106" s="3" t="s">
        <v>20</v>
      </c>
      <c r="K106" s="3" t="s">
        <v>46</v>
      </c>
      <c r="L106" s="38"/>
      <c r="M106" s="112">
        <v>0.20833333333333334</v>
      </c>
      <c r="N106" s="38"/>
      <c r="O106" s="38"/>
      <c r="P106" s="38"/>
      <c r="Q106" s="60"/>
      <c r="R106" t="s">
        <v>208</v>
      </c>
      <c r="S106" t="s">
        <v>207</v>
      </c>
    </row>
    <row r="107" spans="1:19" ht="40.799999999999997">
      <c r="A107" s="3">
        <v>105</v>
      </c>
      <c r="B107" s="56">
        <v>5031</v>
      </c>
      <c r="C107" s="101" t="str">
        <f t="shared" si="2"/>
        <v>*5031*</v>
      </c>
      <c r="D107" s="5" t="s">
        <v>57</v>
      </c>
      <c r="E107" s="36" t="s">
        <v>231</v>
      </c>
      <c r="F107" s="5" t="str">
        <f t="shared" si="3"/>
        <v>EAKKAMOL INTUSOPON</v>
      </c>
      <c r="G107" s="57" t="s">
        <v>259</v>
      </c>
      <c r="H107" s="3" t="s">
        <v>277</v>
      </c>
      <c r="I107" s="3" t="s">
        <v>196</v>
      </c>
      <c r="J107" s="3" t="s">
        <v>20</v>
      </c>
      <c r="K107" s="3" t="s">
        <v>46</v>
      </c>
      <c r="L107" s="38"/>
      <c r="M107" s="112">
        <v>0.20833333333333334</v>
      </c>
      <c r="N107" s="38"/>
      <c r="O107" s="38"/>
      <c r="P107" s="38"/>
      <c r="Q107" s="60"/>
      <c r="R107" t="s">
        <v>208</v>
      </c>
      <c r="S107" t="s">
        <v>209</v>
      </c>
    </row>
    <row r="108" spans="1:19" ht="40.799999999999997">
      <c r="A108" s="3">
        <v>106</v>
      </c>
      <c r="B108" s="56">
        <v>5032</v>
      </c>
      <c r="C108" s="101" t="str">
        <f t="shared" si="2"/>
        <v>*5032*</v>
      </c>
      <c r="D108" s="5" t="s">
        <v>57</v>
      </c>
      <c r="E108" s="36" t="s">
        <v>232</v>
      </c>
      <c r="F108" s="5" t="str">
        <f t="shared" si="3"/>
        <v>MARTIN RIEDINGER</v>
      </c>
      <c r="G108" s="57" t="s">
        <v>260</v>
      </c>
      <c r="H108" s="3" t="s">
        <v>277</v>
      </c>
      <c r="I108" s="3" t="s">
        <v>196</v>
      </c>
      <c r="J108" s="3" t="s">
        <v>272</v>
      </c>
      <c r="K108" s="3" t="s">
        <v>46</v>
      </c>
      <c r="L108" s="38"/>
      <c r="M108" s="112">
        <v>0.20833333333333334</v>
      </c>
      <c r="N108" s="38"/>
      <c r="O108" s="38"/>
      <c r="P108" s="38"/>
      <c r="Q108" s="60"/>
      <c r="R108" t="s">
        <v>208</v>
      </c>
      <c r="S108" t="s">
        <v>212</v>
      </c>
    </row>
    <row r="109" spans="1:19" ht="40.799999999999997">
      <c r="A109" s="3">
        <v>107</v>
      </c>
      <c r="B109" s="56">
        <v>5033</v>
      </c>
      <c r="C109" s="101" t="str">
        <f t="shared" si="2"/>
        <v>*5033*</v>
      </c>
      <c r="D109" s="35" t="s">
        <v>57</v>
      </c>
      <c r="E109" s="36" t="s">
        <v>233</v>
      </c>
      <c r="F109" s="5" t="str">
        <f t="shared" si="3"/>
        <v>THANET THAMMASRIRAK</v>
      </c>
      <c r="G109" s="57" t="s">
        <v>261</v>
      </c>
      <c r="H109" s="3" t="s">
        <v>277</v>
      </c>
      <c r="I109" s="3" t="s">
        <v>197</v>
      </c>
      <c r="J109" s="3" t="s">
        <v>20</v>
      </c>
      <c r="K109" s="3" t="s">
        <v>46</v>
      </c>
      <c r="L109" s="38"/>
      <c r="M109" s="112">
        <v>0.20833333333333334</v>
      </c>
      <c r="N109" s="38"/>
      <c r="O109" s="38"/>
      <c r="P109" s="38"/>
      <c r="Q109" s="38"/>
      <c r="R109" t="s">
        <v>206</v>
      </c>
      <c r="S109" t="s">
        <v>211</v>
      </c>
    </row>
    <row r="110" spans="1:19" ht="40.799999999999997">
      <c r="A110" s="3">
        <v>108</v>
      </c>
      <c r="B110" s="56">
        <v>5034</v>
      </c>
      <c r="C110" s="101" t="str">
        <f t="shared" si="2"/>
        <v>*5034*</v>
      </c>
      <c r="D110" s="35" t="s">
        <v>57</v>
      </c>
      <c r="E110" s="36" t="s">
        <v>234</v>
      </c>
      <c r="F110" s="5" t="str">
        <f t="shared" si="3"/>
        <v>JEERAPHAN NONTAKA</v>
      </c>
      <c r="G110" s="37" t="s">
        <v>262</v>
      </c>
      <c r="H110" s="3" t="s">
        <v>277</v>
      </c>
      <c r="I110" s="3" t="s">
        <v>198</v>
      </c>
      <c r="J110" s="3" t="s">
        <v>20</v>
      </c>
      <c r="K110" s="3" t="s">
        <v>46</v>
      </c>
      <c r="L110" s="38"/>
      <c r="M110" s="112">
        <v>0.20833333333333334</v>
      </c>
      <c r="N110" s="38"/>
      <c r="O110" s="38"/>
      <c r="P110" s="38"/>
      <c r="Q110" s="38"/>
      <c r="R110" t="s">
        <v>206</v>
      </c>
      <c r="S110" t="s">
        <v>214</v>
      </c>
    </row>
    <row r="111" spans="1:19" ht="40.799999999999997">
      <c r="A111" s="3">
        <v>109</v>
      </c>
      <c r="B111" s="56">
        <v>5035</v>
      </c>
      <c r="C111" s="101" t="str">
        <f t="shared" si="2"/>
        <v>*5035*</v>
      </c>
      <c r="D111" s="35" t="s">
        <v>57</v>
      </c>
      <c r="E111" s="36" t="s">
        <v>235</v>
      </c>
      <c r="F111" s="5" t="str">
        <f t="shared" si="3"/>
        <v>PEERAPON BOONSRISOD</v>
      </c>
      <c r="G111" s="37" t="s">
        <v>263</v>
      </c>
      <c r="H111" s="3" t="s">
        <v>277</v>
      </c>
      <c r="I111" s="3" t="s">
        <v>197</v>
      </c>
      <c r="J111" s="3" t="s">
        <v>20</v>
      </c>
      <c r="K111" s="3" t="s">
        <v>46</v>
      </c>
      <c r="L111" s="38"/>
      <c r="M111" s="112">
        <v>0.20833333333333334</v>
      </c>
      <c r="N111" s="38"/>
      <c r="O111" s="38"/>
      <c r="P111" s="38"/>
      <c r="Q111" s="38"/>
      <c r="R111" t="s">
        <v>208</v>
      </c>
      <c r="S111" t="s">
        <v>209</v>
      </c>
    </row>
    <row r="112" spans="1:19" ht="40.799999999999997">
      <c r="A112" s="3">
        <v>110</v>
      </c>
      <c r="B112" s="56">
        <v>5036</v>
      </c>
      <c r="C112" s="101" t="str">
        <f t="shared" si="2"/>
        <v>*5036*</v>
      </c>
      <c r="D112" s="35" t="s">
        <v>57</v>
      </c>
      <c r="E112" s="36" t="s">
        <v>236</v>
      </c>
      <c r="F112" s="5" t="str">
        <f t="shared" si="3"/>
        <v>THANAKIT PRAKAIPHISUT</v>
      </c>
      <c r="G112" s="57" t="s">
        <v>264</v>
      </c>
      <c r="H112" s="3" t="s">
        <v>277</v>
      </c>
      <c r="I112" s="3" t="s">
        <v>196</v>
      </c>
      <c r="J112" s="3" t="s">
        <v>20</v>
      </c>
      <c r="K112" s="3" t="s">
        <v>46</v>
      </c>
      <c r="L112" s="38"/>
      <c r="M112" s="112">
        <v>0.20833333333333334</v>
      </c>
      <c r="N112" s="38"/>
      <c r="O112" s="38"/>
      <c r="P112" s="38"/>
      <c r="Q112" s="38"/>
      <c r="R112" t="s">
        <v>208</v>
      </c>
      <c r="S112" t="s">
        <v>207</v>
      </c>
    </row>
    <row r="113" spans="1:19" ht="40.799999999999997">
      <c r="A113" s="3">
        <v>111</v>
      </c>
      <c r="B113" s="56">
        <v>5037</v>
      </c>
      <c r="C113" s="101" t="str">
        <f t="shared" si="2"/>
        <v>*5037*</v>
      </c>
      <c r="D113" s="35" t="s">
        <v>58</v>
      </c>
      <c r="E113" s="35" t="s">
        <v>237</v>
      </c>
      <c r="F113" s="5" t="str">
        <f t="shared" si="3"/>
        <v>JITRA TOIM</v>
      </c>
      <c r="G113" s="3" t="s">
        <v>265</v>
      </c>
      <c r="H113" s="37" t="s">
        <v>278</v>
      </c>
      <c r="I113" s="3" t="s">
        <v>196</v>
      </c>
      <c r="J113" s="3" t="s">
        <v>20</v>
      </c>
      <c r="K113" s="3" t="s">
        <v>46</v>
      </c>
      <c r="L113" s="38"/>
      <c r="M113" s="112">
        <v>0.20833333333333334</v>
      </c>
      <c r="N113" s="38"/>
      <c r="O113" s="38"/>
      <c r="P113" s="35"/>
      <c r="Q113" s="35"/>
      <c r="R113" t="s">
        <v>206</v>
      </c>
      <c r="S113" t="s">
        <v>207</v>
      </c>
    </row>
    <row r="114" spans="1:19" ht="40.799999999999997">
      <c r="A114" s="3">
        <v>112</v>
      </c>
      <c r="B114" s="56">
        <v>5038</v>
      </c>
      <c r="C114" s="101" t="str">
        <f t="shared" si="2"/>
        <v>*5038*</v>
      </c>
      <c r="D114" s="35" t="s">
        <v>57</v>
      </c>
      <c r="E114" s="35" t="s">
        <v>238</v>
      </c>
      <c r="F114" s="5" t="str">
        <f t="shared" si="3"/>
        <v>SAMART THONGDANGNGAM</v>
      </c>
      <c r="G114" s="3" t="s">
        <v>266</v>
      </c>
      <c r="H114" s="3" t="s">
        <v>277</v>
      </c>
      <c r="I114" s="3" t="s">
        <v>196</v>
      </c>
      <c r="J114" s="3" t="s">
        <v>20</v>
      </c>
      <c r="K114" s="3" t="s">
        <v>46</v>
      </c>
      <c r="L114" s="38"/>
      <c r="M114" s="112">
        <v>0.20833333333333334</v>
      </c>
      <c r="N114" s="38"/>
      <c r="O114" s="38"/>
      <c r="P114" s="35"/>
      <c r="Q114" s="35"/>
      <c r="R114" t="s">
        <v>208</v>
      </c>
      <c r="S114" t="s">
        <v>212</v>
      </c>
    </row>
    <row r="115" spans="1:19" ht="40.799999999999997">
      <c r="A115" s="3">
        <v>113</v>
      </c>
      <c r="B115" s="56">
        <v>5039</v>
      </c>
      <c r="C115" s="101" t="str">
        <f t="shared" si="2"/>
        <v>*5039*</v>
      </c>
      <c r="D115" s="35" t="s">
        <v>57</v>
      </c>
      <c r="E115" s="35" t="s">
        <v>239</v>
      </c>
      <c r="F115" s="5" t="str">
        <f t="shared" si="3"/>
        <v>KITTIVUT KAEWPRASERT</v>
      </c>
      <c r="G115" s="3" t="s">
        <v>267</v>
      </c>
      <c r="H115" s="3" t="s">
        <v>277</v>
      </c>
      <c r="I115" s="3" t="s">
        <v>196</v>
      </c>
      <c r="J115" s="3" t="s">
        <v>20</v>
      </c>
      <c r="K115" s="3" t="s">
        <v>46</v>
      </c>
      <c r="L115" s="38"/>
      <c r="M115" s="112">
        <v>0.20833333333333334</v>
      </c>
      <c r="N115" s="38"/>
      <c r="O115" s="38"/>
      <c r="P115" s="35"/>
      <c r="Q115" s="35"/>
      <c r="R115" t="s">
        <v>206</v>
      </c>
      <c r="S115" t="s">
        <v>211</v>
      </c>
    </row>
    <row r="116" spans="1:19" ht="40.799999999999997">
      <c r="A116" s="3">
        <v>114</v>
      </c>
      <c r="B116" s="56">
        <v>5040</v>
      </c>
      <c r="C116" s="101" t="str">
        <f t="shared" si="2"/>
        <v>*5040*</v>
      </c>
      <c r="D116" s="35" t="s">
        <v>57</v>
      </c>
      <c r="E116" s="35" t="s">
        <v>240</v>
      </c>
      <c r="F116" s="5" t="str">
        <f t="shared" si="3"/>
        <v>ROBERT MCCONNON</v>
      </c>
      <c r="G116" s="3" t="s">
        <v>268</v>
      </c>
      <c r="H116" s="3" t="s">
        <v>277</v>
      </c>
      <c r="I116" s="3" t="s">
        <v>196</v>
      </c>
      <c r="J116" s="3" t="s">
        <v>273</v>
      </c>
      <c r="K116" s="3" t="s">
        <v>46</v>
      </c>
      <c r="L116" s="38"/>
      <c r="M116" s="112">
        <v>0.20833333333333334</v>
      </c>
      <c r="N116" s="38"/>
      <c r="O116" s="38"/>
      <c r="P116" s="35"/>
      <c r="Q116" s="35"/>
      <c r="R116" t="s">
        <v>206</v>
      </c>
      <c r="S116" t="s">
        <v>211</v>
      </c>
    </row>
    <row r="117" spans="1:19" ht="40.799999999999997">
      <c r="A117" s="3">
        <v>115</v>
      </c>
      <c r="B117" s="56">
        <v>5041</v>
      </c>
      <c r="C117" s="101" t="str">
        <f t="shared" si="2"/>
        <v>*5041*</v>
      </c>
      <c r="D117" s="35" t="s">
        <v>57</v>
      </c>
      <c r="E117" s="35" t="s">
        <v>241</v>
      </c>
      <c r="F117" s="5" t="str">
        <f t="shared" si="3"/>
        <v>ALAN  FLENING</v>
      </c>
      <c r="G117" s="3" t="s">
        <v>269</v>
      </c>
      <c r="H117" s="3" t="s">
        <v>277</v>
      </c>
      <c r="I117" s="3" t="s">
        <v>196</v>
      </c>
      <c r="J117" s="3" t="s">
        <v>273</v>
      </c>
      <c r="K117" s="3" t="s">
        <v>46</v>
      </c>
      <c r="L117" s="38"/>
      <c r="M117" s="112">
        <v>0.20833333333333334</v>
      </c>
      <c r="N117" s="38"/>
      <c r="O117" s="38"/>
      <c r="P117" s="35"/>
      <c r="Q117" s="35"/>
      <c r="R117" t="s">
        <v>206</v>
      </c>
      <c r="S117" t="s">
        <v>211</v>
      </c>
    </row>
    <row r="118" spans="1:19" ht="40.799999999999997">
      <c r="A118" s="3">
        <v>116</v>
      </c>
      <c r="B118" s="56">
        <v>5042</v>
      </c>
      <c r="C118" s="101" t="str">
        <f t="shared" si="2"/>
        <v>*5042*</v>
      </c>
      <c r="D118" s="60" t="s">
        <v>57</v>
      </c>
      <c r="E118" s="35" t="s">
        <v>242</v>
      </c>
      <c r="F118" s="5" t="str">
        <f t="shared" si="3"/>
        <v>TIMOTHY EDWARDS</v>
      </c>
      <c r="G118" s="3" t="s">
        <v>270</v>
      </c>
      <c r="H118" s="3" t="s">
        <v>277</v>
      </c>
      <c r="I118" s="3" t="s">
        <v>196</v>
      </c>
      <c r="J118" s="3" t="s">
        <v>204</v>
      </c>
      <c r="K118" s="3" t="s">
        <v>46</v>
      </c>
      <c r="L118" s="38"/>
      <c r="M118" s="112">
        <v>0.20833333333333334</v>
      </c>
      <c r="N118" s="38"/>
      <c r="O118" s="38"/>
      <c r="P118" s="35"/>
      <c r="Q118" s="35"/>
      <c r="R118" t="s">
        <v>206</v>
      </c>
      <c r="S118" t="s">
        <v>211</v>
      </c>
    </row>
    <row r="119" spans="1:19" ht="40.799999999999997">
      <c r="A119" s="3">
        <v>117</v>
      </c>
      <c r="B119" s="56">
        <v>5043</v>
      </c>
      <c r="C119" s="101" t="str">
        <f t="shared" si="2"/>
        <v>*5043*</v>
      </c>
      <c r="D119" s="5"/>
      <c r="E119" s="5"/>
      <c r="F119" s="5"/>
      <c r="G119" s="3"/>
      <c r="H119" s="3"/>
      <c r="I119" s="3"/>
      <c r="J119" s="3"/>
      <c r="K119" s="3"/>
      <c r="L119" s="38"/>
      <c r="M119" s="112">
        <v>0.20833333333333334</v>
      </c>
      <c r="N119" s="38"/>
      <c r="O119" s="38"/>
      <c r="P119" s="35"/>
      <c r="Q119" s="60"/>
      <c r="R119" t="s">
        <v>206</v>
      </c>
      <c r="S119" t="s">
        <v>211</v>
      </c>
    </row>
    <row r="120" spans="1:19" ht="40.799999999999997">
      <c r="A120" s="3">
        <v>118</v>
      </c>
      <c r="B120" s="188">
        <v>5044</v>
      </c>
      <c r="C120" s="189" t="str">
        <f t="shared" si="2"/>
        <v>*5044*</v>
      </c>
      <c r="D120" s="201" t="s">
        <v>57</v>
      </c>
      <c r="E120" s="200" t="s">
        <v>294</v>
      </c>
      <c r="F120" s="200" t="str">
        <f t="shared" si="3"/>
        <v>PHONGSATHON JEESOM</v>
      </c>
      <c r="G120" s="199" t="s">
        <v>338</v>
      </c>
      <c r="H120" s="199" t="s">
        <v>277</v>
      </c>
      <c r="I120" s="199" t="s">
        <v>196</v>
      </c>
      <c r="J120" s="199" t="s">
        <v>20</v>
      </c>
      <c r="K120" s="199" t="s">
        <v>46</v>
      </c>
      <c r="L120" s="38"/>
      <c r="M120" s="112">
        <v>0.20833333333333334</v>
      </c>
      <c r="N120" s="38"/>
      <c r="O120" s="38"/>
      <c r="P120" s="35"/>
      <c r="Q120" s="60"/>
    </row>
    <row r="121" spans="1:19" ht="40.799999999999997">
      <c r="A121" s="3">
        <v>119</v>
      </c>
      <c r="B121" s="188">
        <v>5045</v>
      </c>
      <c r="C121" s="189" t="str">
        <f t="shared" si="2"/>
        <v>*5045*</v>
      </c>
      <c r="D121" s="201" t="s">
        <v>57</v>
      </c>
      <c r="E121" s="200" t="s">
        <v>295</v>
      </c>
      <c r="F121" s="200" t="str">
        <f t="shared" si="3"/>
        <v>VEERAPONG PAKDEEPRASERT</v>
      </c>
      <c r="G121" s="199" t="s">
        <v>342</v>
      </c>
      <c r="H121" s="199" t="s">
        <v>277</v>
      </c>
      <c r="I121" s="199" t="s">
        <v>196</v>
      </c>
      <c r="J121" s="199" t="s">
        <v>20</v>
      </c>
      <c r="K121" s="199" t="s">
        <v>46</v>
      </c>
      <c r="L121" s="38"/>
      <c r="M121" s="112">
        <v>0.20833333333333334</v>
      </c>
      <c r="N121" s="38"/>
      <c r="O121" s="38"/>
      <c r="P121" s="35"/>
      <c r="Q121" s="35"/>
    </row>
    <row r="122" spans="1:19" ht="40.799999999999997">
      <c r="A122" s="3">
        <v>120</v>
      </c>
      <c r="B122" s="188">
        <v>5046</v>
      </c>
      <c r="C122" s="189" t="str">
        <f t="shared" si="2"/>
        <v>*5046*</v>
      </c>
      <c r="D122" s="201" t="s">
        <v>57</v>
      </c>
      <c r="E122" s="200" t="s">
        <v>296</v>
      </c>
      <c r="F122" s="200" t="str">
        <f t="shared" si="3"/>
        <v>PATTHANAPICJI TRINWATTHAWORN</v>
      </c>
      <c r="G122" s="199" t="s">
        <v>341</v>
      </c>
      <c r="H122" s="199" t="s">
        <v>277</v>
      </c>
      <c r="I122" s="199" t="s">
        <v>196</v>
      </c>
      <c r="J122" s="199" t="s">
        <v>20</v>
      </c>
      <c r="K122" s="199" t="s">
        <v>46</v>
      </c>
      <c r="L122" s="38"/>
      <c r="M122" s="112">
        <v>0.20833333333333334</v>
      </c>
      <c r="N122" s="38"/>
      <c r="O122" s="38"/>
      <c r="P122" s="35"/>
      <c r="Q122" s="35"/>
    </row>
    <row r="123" spans="1:19" ht="40.799999999999997">
      <c r="A123" s="3">
        <v>121</v>
      </c>
      <c r="B123" s="188">
        <v>5047</v>
      </c>
      <c r="C123" s="189" t="str">
        <f t="shared" si="2"/>
        <v>*5047*</v>
      </c>
      <c r="D123" s="201" t="s">
        <v>57</v>
      </c>
      <c r="E123" s="200" t="s">
        <v>297</v>
      </c>
      <c r="F123" s="200" t="str">
        <f t="shared" si="3"/>
        <v xml:space="preserve">TAWATCHAI LATHIANG </v>
      </c>
      <c r="G123" s="199" t="s">
        <v>300</v>
      </c>
      <c r="H123" s="199" t="s">
        <v>277</v>
      </c>
      <c r="I123" s="199" t="s">
        <v>198</v>
      </c>
      <c r="J123" s="199" t="s">
        <v>20</v>
      </c>
      <c r="K123" s="199" t="s">
        <v>46</v>
      </c>
      <c r="L123" s="38"/>
      <c r="M123" s="112">
        <v>0.20833333333333334</v>
      </c>
      <c r="N123" s="38"/>
      <c r="O123" s="38"/>
      <c r="P123" s="35"/>
      <c r="Q123" s="35"/>
    </row>
    <row r="124" spans="1:19" ht="40.799999999999997">
      <c r="A124" s="3">
        <v>122</v>
      </c>
      <c r="B124" s="188">
        <v>5048</v>
      </c>
      <c r="C124" s="189" t="str">
        <f t="shared" si="2"/>
        <v>*5048*</v>
      </c>
      <c r="D124" s="201" t="s">
        <v>57</v>
      </c>
      <c r="E124" s="200" t="s">
        <v>332</v>
      </c>
      <c r="F124" s="200" t="str">
        <f>UPPER(E124)</f>
        <v>SONGWUT BOAKHEM</v>
      </c>
      <c r="G124" s="199" t="s">
        <v>301</v>
      </c>
      <c r="H124" s="199" t="s">
        <v>277</v>
      </c>
      <c r="I124" s="199" t="s">
        <v>274</v>
      </c>
      <c r="J124" s="199" t="s">
        <v>20</v>
      </c>
      <c r="K124" s="199" t="s">
        <v>46</v>
      </c>
      <c r="L124" s="38"/>
      <c r="M124" s="112">
        <v>0.20833333333333334</v>
      </c>
      <c r="N124" s="38"/>
      <c r="O124" s="38"/>
      <c r="P124" s="35"/>
      <c r="Q124" s="35"/>
    </row>
    <row r="125" spans="1:19" ht="40.799999999999997">
      <c r="A125" s="3">
        <v>123</v>
      </c>
      <c r="B125" s="188">
        <v>5049</v>
      </c>
      <c r="C125" s="189" t="str">
        <f t="shared" si="2"/>
        <v>*5049*</v>
      </c>
      <c r="D125" s="201" t="s">
        <v>57</v>
      </c>
      <c r="E125" s="200" t="s">
        <v>298</v>
      </c>
      <c r="F125" s="200" t="str">
        <f t="shared" si="3"/>
        <v>SURAPONG PORNPRADIT</v>
      </c>
      <c r="G125" s="199" t="s">
        <v>302</v>
      </c>
      <c r="H125" s="199" t="s">
        <v>277</v>
      </c>
      <c r="I125" s="199" t="s">
        <v>274</v>
      </c>
      <c r="J125" s="199" t="s">
        <v>20</v>
      </c>
      <c r="K125" s="199" t="s">
        <v>46</v>
      </c>
      <c r="L125" s="38"/>
      <c r="M125" s="112">
        <v>0.20833333333333334</v>
      </c>
      <c r="N125" s="38"/>
      <c r="O125" s="38"/>
      <c r="P125" s="35"/>
      <c r="Q125" s="35"/>
    </row>
    <row r="126" spans="1:19" ht="40.799999999999997">
      <c r="A126" s="3">
        <v>124</v>
      </c>
      <c r="B126" s="188">
        <v>5050</v>
      </c>
      <c r="C126" s="189" t="str">
        <f t="shared" si="2"/>
        <v>*5050*</v>
      </c>
      <c r="D126" s="198"/>
      <c r="E126" s="200" t="s">
        <v>299</v>
      </c>
      <c r="F126" s="200" t="str">
        <f t="shared" si="3"/>
        <v>THANAPHAT CHAIPOH</v>
      </c>
      <c r="G126" s="199" t="s">
        <v>303</v>
      </c>
      <c r="H126" s="199" t="s">
        <v>279</v>
      </c>
      <c r="I126" s="198"/>
      <c r="J126" s="199" t="s">
        <v>20</v>
      </c>
      <c r="K126" s="199" t="s">
        <v>46</v>
      </c>
      <c r="L126" s="38"/>
      <c r="M126" s="112">
        <v>0.20833333333333334</v>
      </c>
      <c r="N126" s="38"/>
      <c r="O126" s="38"/>
      <c r="P126" s="35"/>
      <c r="Q126" s="217">
        <v>27351</v>
      </c>
    </row>
    <row r="127" spans="1:19" ht="40.799999999999997">
      <c r="A127" s="3">
        <v>125</v>
      </c>
      <c r="B127" s="188">
        <v>5051</v>
      </c>
      <c r="C127" s="189" t="str">
        <f t="shared" si="2"/>
        <v>*5051*</v>
      </c>
      <c r="D127" s="198"/>
      <c r="E127" s="201"/>
      <c r="F127" s="200" t="str">
        <f t="shared" si="3"/>
        <v/>
      </c>
      <c r="G127" s="199"/>
      <c r="H127" s="198"/>
      <c r="I127" s="198"/>
      <c r="J127" s="198"/>
      <c r="K127" s="199"/>
      <c r="L127" s="38"/>
      <c r="M127" s="112">
        <v>0.20833333333333334</v>
      </c>
      <c r="N127" s="38"/>
      <c r="O127" s="38"/>
      <c r="P127" s="35"/>
      <c r="Q127" s="35"/>
    </row>
    <row r="128" spans="1:19" ht="40.799999999999997">
      <c r="A128" s="3">
        <v>126</v>
      </c>
      <c r="B128" s="188">
        <v>5052</v>
      </c>
      <c r="C128" s="189" t="str">
        <f t="shared" si="2"/>
        <v>*5052*</v>
      </c>
      <c r="D128" s="198"/>
      <c r="E128" s="201"/>
      <c r="F128" s="200" t="str">
        <f t="shared" si="3"/>
        <v/>
      </c>
      <c r="G128" s="199"/>
      <c r="H128" s="198"/>
      <c r="I128" s="198"/>
      <c r="J128" s="198"/>
      <c r="K128" s="199"/>
      <c r="L128" s="38"/>
      <c r="M128" s="112">
        <v>0.20833333333333334</v>
      </c>
      <c r="N128" s="38"/>
      <c r="O128" s="38"/>
      <c r="P128" s="35"/>
      <c r="Q128" s="35"/>
    </row>
    <row r="129" spans="1:17" ht="40.799999999999997">
      <c r="A129" s="3">
        <v>127</v>
      </c>
      <c r="B129" s="188">
        <v>5053</v>
      </c>
      <c r="C129" s="189" t="str">
        <f t="shared" si="2"/>
        <v>*5053*</v>
      </c>
      <c r="D129" s="198"/>
      <c r="E129" s="201"/>
      <c r="F129" s="200" t="str">
        <f t="shared" si="3"/>
        <v/>
      </c>
      <c r="G129" s="199"/>
      <c r="H129" s="198"/>
      <c r="I129" s="198"/>
      <c r="J129" s="198"/>
      <c r="K129" s="199"/>
      <c r="L129" s="38"/>
      <c r="M129" s="112">
        <v>0.20833333333333334</v>
      </c>
      <c r="N129" s="38"/>
      <c r="O129" s="38"/>
      <c r="P129" s="35"/>
      <c r="Q129" s="35"/>
    </row>
    <row r="130" spans="1:17" ht="40.799999999999997">
      <c r="A130" s="3">
        <v>128</v>
      </c>
      <c r="B130" s="188">
        <v>5054</v>
      </c>
      <c r="C130" s="189" t="str">
        <f t="shared" si="2"/>
        <v>*5054*</v>
      </c>
      <c r="D130" s="198"/>
      <c r="E130" s="201"/>
      <c r="F130" s="200" t="str">
        <f t="shared" si="3"/>
        <v/>
      </c>
      <c r="G130" s="199"/>
      <c r="H130" s="198"/>
      <c r="I130" s="198"/>
      <c r="J130" s="198"/>
      <c r="K130" s="199"/>
      <c r="L130" s="38"/>
      <c r="M130" s="112">
        <v>0.20833333333333334</v>
      </c>
      <c r="N130" s="38"/>
      <c r="O130" s="38"/>
      <c r="P130" s="35"/>
      <c r="Q130" s="35"/>
    </row>
    <row r="131" spans="1:17" ht="40.799999999999997">
      <c r="A131" s="3">
        <v>129</v>
      </c>
      <c r="B131" s="188">
        <v>5055</v>
      </c>
      <c r="C131" s="189" t="str">
        <f t="shared" si="2"/>
        <v>*5055*</v>
      </c>
      <c r="D131" s="198"/>
      <c r="E131" s="201"/>
      <c r="F131" s="200" t="str">
        <f t="shared" si="3"/>
        <v/>
      </c>
      <c r="G131" s="199"/>
      <c r="H131" s="198"/>
      <c r="I131" s="198"/>
      <c r="J131" s="198"/>
      <c r="K131" s="199"/>
      <c r="L131" s="38"/>
      <c r="M131" s="112">
        <v>0.20833333333333334</v>
      </c>
      <c r="N131" s="38"/>
      <c r="O131" s="38"/>
      <c r="P131" s="35"/>
      <c r="Q131" s="35"/>
    </row>
    <row r="132" spans="1:17" ht="40.799999999999997">
      <c r="A132" s="3">
        <v>130</v>
      </c>
      <c r="B132" s="188">
        <v>5056</v>
      </c>
      <c r="C132" s="189" t="str">
        <f t="shared" si="2"/>
        <v>*5056*</v>
      </c>
      <c r="D132" s="198"/>
      <c r="E132" s="201"/>
      <c r="F132" s="200" t="str">
        <f t="shared" si="3"/>
        <v/>
      </c>
      <c r="G132" s="199"/>
      <c r="H132" s="198"/>
      <c r="I132" s="198"/>
      <c r="J132" s="198"/>
      <c r="K132" s="199"/>
      <c r="L132" s="38"/>
      <c r="M132" s="112">
        <v>0.20833333333333334</v>
      </c>
      <c r="N132" s="38"/>
      <c r="O132" s="38"/>
      <c r="P132" s="35"/>
      <c r="Q132" s="35"/>
    </row>
    <row r="133" spans="1:17" ht="40.799999999999997">
      <c r="A133" s="3">
        <v>131</v>
      </c>
      <c r="B133" s="188">
        <v>5057</v>
      </c>
      <c r="C133" s="189" t="str">
        <f t="shared" ref="C133:C154" si="4">"*"&amp;B133&amp;"*"</f>
        <v>*5057*</v>
      </c>
      <c r="D133" s="198"/>
      <c r="E133" s="198"/>
      <c r="F133" s="200" t="str">
        <f t="shared" ref="F133:F154" si="5">UPPER(E133)</f>
        <v/>
      </c>
      <c r="G133" s="199"/>
      <c r="H133" s="198"/>
      <c r="I133" s="198"/>
      <c r="J133" s="198"/>
      <c r="K133" s="199"/>
      <c r="L133" s="38"/>
      <c r="M133" s="112">
        <v>0.20833333333333334</v>
      </c>
      <c r="N133" s="38"/>
      <c r="O133" s="38"/>
      <c r="P133" s="35"/>
      <c r="Q133" s="35"/>
    </row>
    <row r="134" spans="1:17" ht="40.799999999999997">
      <c r="A134" s="3">
        <v>132</v>
      </c>
      <c r="B134" s="188">
        <v>5058</v>
      </c>
      <c r="C134" s="189" t="str">
        <f t="shared" si="4"/>
        <v>*5058*</v>
      </c>
      <c r="D134" s="198"/>
      <c r="E134" s="198"/>
      <c r="F134" s="200" t="str">
        <f t="shared" si="5"/>
        <v/>
      </c>
      <c r="G134" s="199"/>
      <c r="H134" s="198"/>
      <c r="I134" s="198"/>
      <c r="J134" s="198"/>
      <c r="K134" s="199"/>
      <c r="L134" s="38"/>
      <c r="M134" s="112">
        <v>0.20833333333333334</v>
      </c>
      <c r="N134" s="38"/>
      <c r="O134" s="38"/>
      <c r="P134" s="35"/>
      <c r="Q134" s="35"/>
    </row>
    <row r="135" spans="1:17" ht="40.799999999999997">
      <c r="A135" s="3">
        <v>133</v>
      </c>
      <c r="B135" s="56"/>
      <c r="C135" s="101" t="str">
        <f t="shared" si="4"/>
        <v>**</v>
      </c>
      <c r="D135" s="35"/>
      <c r="E135" s="35"/>
      <c r="F135" s="5" t="str">
        <f t="shared" si="5"/>
        <v/>
      </c>
      <c r="G135" s="3"/>
      <c r="H135" s="35"/>
      <c r="I135" s="35"/>
      <c r="J135" s="35"/>
      <c r="K135" s="35"/>
      <c r="L135" s="38"/>
      <c r="M135" s="38"/>
      <c r="N135" s="38"/>
      <c r="O135" s="38"/>
      <c r="P135" s="35"/>
      <c r="Q135" s="35"/>
    </row>
    <row r="136" spans="1:17" ht="40.799999999999997">
      <c r="A136" s="3">
        <v>134</v>
      </c>
      <c r="B136" s="56"/>
      <c r="C136" s="101" t="str">
        <f t="shared" si="4"/>
        <v>**</v>
      </c>
      <c r="D136" s="35"/>
      <c r="E136" s="35"/>
      <c r="F136" s="5" t="str">
        <f t="shared" si="5"/>
        <v/>
      </c>
      <c r="G136" s="3"/>
      <c r="H136" s="35"/>
      <c r="I136" s="35"/>
      <c r="J136" s="35"/>
      <c r="K136" s="35"/>
      <c r="L136" s="38"/>
      <c r="M136" s="38"/>
      <c r="N136" s="38"/>
      <c r="O136" s="38"/>
      <c r="P136" s="35"/>
      <c r="Q136" s="35"/>
    </row>
    <row r="137" spans="1:17" ht="40.799999999999997">
      <c r="A137" s="3">
        <v>135</v>
      </c>
      <c r="B137" s="56"/>
      <c r="C137" s="101" t="str">
        <f t="shared" si="4"/>
        <v>**</v>
      </c>
      <c r="D137" s="35"/>
      <c r="E137" s="35"/>
      <c r="F137" s="5" t="str">
        <f t="shared" si="5"/>
        <v/>
      </c>
      <c r="G137" s="3"/>
      <c r="H137" s="35"/>
      <c r="I137" s="35"/>
      <c r="J137" s="35"/>
      <c r="K137" s="35"/>
      <c r="L137" s="38"/>
      <c r="M137" s="38"/>
      <c r="N137" s="38"/>
      <c r="O137" s="38"/>
      <c r="P137" s="35"/>
      <c r="Q137" s="35"/>
    </row>
    <row r="138" spans="1:17" ht="40.799999999999997">
      <c r="A138" s="3">
        <v>136</v>
      </c>
      <c r="B138" s="56"/>
      <c r="C138" s="101" t="str">
        <f t="shared" si="4"/>
        <v>**</v>
      </c>
      <c r="D138" s="35"/>
      <c r="E138" s="35"/>
      <c r="F138" s="5" t="str">
        <f t="shared" si="5"/>
        <v/>
      </c>
      <c r="G138" s="3"/>
      <c r="H138" s="35"/>
      <c r="I138" s="35"/>
      <c r="J138" s="35"/>
      <c r="K138" s="35"/>
      <c r="L138" s="38"/>
      <c r="M138" s="38"/>
      <c r="N138" s="38"/>
      <c r="O138" s="38"/>
      <c r="P138" s="35"/>
      <c r="Q138" s="35"/>
    </row>
    <row r="139" spans="1:17" ht="40.799999999999997">
      <c r="A139" s="3">
        <v>137</v>
      </c>
      <c r="B139" s="56"/>
      <c r="C139" s="101" t="str">
        <f t="shared" si="4"/>
        <v>**</v>
      </c>
      <c r="D139" s="35"/>
      <c r="E139" s="35"/>
      <c r="F139" s="5" t="str">
        <f t="shared" si="5"/>
        <v/>
      </c>
      <c r="G139" s="3"/>
      <c r="H139" s="35"/>
      <c r="I139" s="35"/>
      <c r="J139" s="35"/>
      <c r="K139" s="35"/>
      <c r="L139" s="38"/>
      <c r="M139" s="38"/>
      <c r="N139" s="38"/>
      <c r="O139" s="38"/>
      <c r="P139" s="35"/>
      <c r="Q139" s="35"/>
    </row>
    <row r="140" spans="1:17" ht="40.799999999999997">
      <c r="A140" s="3">
        <v>138</v>
      </c>
      <c r="B140" s="56"/>
      <c r="C140" s="101" t="str">
        <f t="shared" si="4"/>
        <v>**</v>
      </c>
      <c r="D140" s="35"/>
      <c r="E140" s="35"/>
      <c r="F140" s="5" t="str">
        <f t="shared" si="5"/>
        <v/>
      </c>
      <c r="G140" s="3"/>
      <c r="H140" s="35"/>
      <c r="I140" s="35"/>
      <c r="J140" s="35"/>
      <c r="K140" s="35"/>
      <c r="L140" s="38"/>
      <c r="M140" s="38"/>
      <c r="N140" s="38"/>
      <c r="O140" s="38"/>
      <c r="P140" s="35"/>
      <c r="Q140" s="35"/>
    </row>
    <row r="141" spans="1:17" ht="40.799999999999997">
      <c r="A141" s="3">
        <v>139</v>
      </c>
      <c r="B141" s="56"/>
      <c r="C141" s="101" t="str">
        <f t="shared" si="4"/>
        <v>**</v>
      </c>
      <c r="D141" s="35"/>
      <c r="E141" s="35"/>
      <c r="F141" s="5" t="str">
        <f t="shared" si="5"/>
        <v/>
      </c>
      <c r="G141" s="3"/>
      <c r="H141" s="35"/>
      <c r="I141" s="35"/>
      <c r="J141" s="35"/>
      <c r="K141" s="35"/>
      <c r="L141" s="38"/>
      <c r="M141" s="38"/>
      <c r="N141" s="38"/>
      <c r="O141" s="38"/>
      <c r="P141" s="35"/>
      <c r="Q141" s="35"/>
    </row>
    <row r="142" spans="1:17" ht="40.799999999999997">
      <c r="A142" s="3">
        <v>140</v>
      </c>
      <c r="B142" s="56"/>
      <c r="C142" s="101" t="str">
        <f t="shared" si="4"/>
        <v>**</v>
      </c>
      <c r="D142" s="35"/>
      <c r="E142" s="35"/>
      <c r="F142" s="5" t="str">
        <f t="shared" si="5"/>
        <v/>
      </c>
      <c r="G142" s="3"/>
      <c r="H142" s="35"/>
      <c r="I142" s="35"/>
      <c r="J142" s="35"/>
      <c r="K142" s="35"/>
      <c r="L142" s="38"/>
      <c r="M142" s="38"/>
      <c r="N142" s="38"/>
      <c r="O142" s="38"/>
      <c r="P142" s="35"/>
      <c r="Q142" s="35"/>
    </row>
    <row r="143" spans="1:17" ht="40.799999999999997">
      <c r="A143" s="3">
        <v>141</v>
      </c>
      <c r="B143" s="56"/>
      <c r="C143" s="101" t="str">
        <f t="shared" si="4"/>
        <v>**</v>
      </c>
      <c r="D143" s="35"/>
      <c r="E143" s="35"/>
      <c r="F143" s="5" t="str">
        <f t="shared" si="5"/>
        <v/>
      </c>
      <c r="G143" s="3"/>
      <c r="H143" s="35"/>
      <c r="I143" s="35"/>
      <c r="J143" s="35"/>
      <c r="K143" s="35"/>
      <c r="L143" s="38"/>
      <c r="M143" s="38"/>
      <c r="N143" s="38"/>
      <c r="O143" s="38"/>
      <c r="P143" s="35"/>
      <c r="Q143" s="35"/>
    </row>
    <row r="144" spans="1:17" ht="40.799999999999997">
      <c r="A144" s="3">
        <v>142</v>
      </c>
      <c r="B144" s="56"/>
      <c r="C144" s="101" t="str">
        <f t="shared" si="4"/>
        <v>**</v>
      </c>
      <c r="D144" s="35"/>
      <c r="E144" s="35"/>
      <c r="F144" s="5" t="str">
        <f t="shared" si="5"/>
        <v/>
      </c>
      <c r="G144" s="3"/>
      <c r="H144" s="35"/>
      <c r="I144" s="35"/>
      <c r="J144" s="35"/>
      <c r="K144" s="35"/>
      <c r="L144" s="38"/>
      <c r="M144" s="38"/>
      <c r="N144" s="38"/>
      <c r="O144" s="38"/>
      <c r="P144" s="35"/>
      <c r="Q144" s="35"/>
    </row>
    <row r="145" spans="1:17" ht="40.799999999999997">
      <c r="A145" s="3">
        <v>143</v>
      </c>
      <c r="B145" s="56"/>
      <c r="C145" s="101" t="str">
        <f t="shared" si="4"/>
        <v>**</v>
      </c>
      <c r="D145" s="35"/>
      <c r="E145" s="35"/>
      <c r="F145" s="5" t="str">
        <f t="shared" si="5"/>
        <v/>
      </c>
      <c r="G145" s="3"/>
      <c r="H145" s="35"/>
      <c r="I145" s="35"/>
      <c r="J145" s="35"/>
      <c r="K145" s="35"/>
      <c r="L145" s="38"/>
      <c r="M145" s="38"/>
      <c r="N145" s="38"/>
      <c r="O145" s="38"/>
      <c r="P145" s="35"/>
      <c r="Q145" s="35"/>
    </row>
    <row r="146" spans="1:17" ht="40.799999999999997">
      <c r="A146" s="3">
        <v>144</v>
      </c>
      <c r="B146" s="56"/>
      <c r="C146" s="101" t="str">
        <f t="shared" si="4"/>
        <v>**</v>
      </c>
      <c r="D146" s="35"/>
      <c r="E146" s="35"/>
      <c r="F146" s="5" t="str">
        <f t="shared" si="5"/>
        <v/>
      </c>
      <c r="G146" s="3"/>
      <c r="H146" s="35"/>
      <c r="I146" s="35"/>
      <c r="J146" s="35"/>
      <c r="K146" s="35"/>
      <c r="L146" s="38"/>
      <c r="M146" s="38"/>
      <c r="N146" s="38"/>
      <c r="O146" s="38"/>
      <c r="P146" s="35"/>
      <c r="Q146" s="35"/>
    </row>
    <row r="147" spans="1:17" ht="40.799999999999997">
      <c r="A147" s="3">
        <v>145</v>
      </c>
      <c r="B147" s="56"/>
      <c r="C147" s="101" t="str">
        <f t="shared" si="4"/>
        <v>**</v>
      </c>
      <c r="D147" s="35"/>
      <c r="E147" s="35"/>
      <c r="F147" s="5" t="str">
        <f t="shared" si="5"/>
        <v/>
      </c>
      <c r="G147" s="3"/>
      <c r="H147" s="35"/>
      <c r="I147" s="35"/>
      <c r="J147" s="35"/>
      <c r="K147" s="35"/>
      <c r="L147" s="38"/>
      <c r="M147" s="38"/>
      <c r="N147" s="38"/>
      <c r="O147" s="38"/>
      <c r="P147" s="35"/>
      <c r="Q147" s="35"/>
    </row>
    <row r="148" spans="1:17" ht="40.799999999999997">
      <c r="A148" s="3">
        <v>146</v>
      </c>
      <c r="B148" s="56"/>
      <c r="C148" s="101" t="str">
        <f t="shared" si="4"/>
        <v>**</v>
      </c>
      <c r="D148" s="35"/>
      <c r="E148" s="35"/>
      <c r="F148" s="5" t="str">
        <f t="shared" si="5"/>
        <v/>
      </c>
      <c r="G148" s="3"/>
      <c r="H148" s="35"/>
      <c r="I148" s="35"/>
      <c r="J148" s="35"/>
      <c r="K148" s="35"/>
      <c r="L148" s="38"/>
      <c r="M148" s="38"/>
      <c r="N148" s="38"/>
      <c r="O148" s="38"/>
      <c r="P148" s="35"/>
      <c r="Q148" s="35"/>
    </row>
    <row r="149" spans="1:17" ht="40.799999999999997">
      <c r="A149" s="3">
        <v>147</v>
      </c>
      <c r="B149" s="56"/>
      <c r="C149" s="101" t="str">
        <f t="shared" si="4"/>
        <v>**</v>
      </c>
      <c r="D149" s="35"/>
      <c r="E149" s="35"/>
      <c r="F149" s="5" t="str">
        <f t="shared" si="5"/>
        <v/>
      </c>
      <c r="G149" s="3"/>
      <c r="H149" s="35"/>
      <c r="I149" s="35"/>
      <c r="J149" s="35"/>
      <c r="K149" s="35"/>
      <c r="L149" s="38"/>
      <c r="M149" s="38"/>
      <c r="N149" s="38"/>
      <c r="O149" s="38"/>
      <c r="P149" s="35"/>
      <c r="Q149" s="35"/>
    </row>
    <row r="150" spans="1:17" ht="40.799999999999997">
      <c r="A150" s="3">
        <v>148</v>
      </c>
      <c r="B150" s="56"/>
      <c r="C150" s="101" t="str">
        <f t="shared" si="4"/>
        <v>**</v>
      </c>
      <c r="D150" s="35"/>
      <c r="E150" s="35"/>
      <c r="F150" s="5" t="str">
        <f t="shared" si="5"/>
        <v/>
      </c>
      <c r="G150" s="3"/>
      <c r="H150" s="35"/>
      <c r="I150" s="35"/>
      <c r="J150" s="35"/>
      <c r="K150" s="35"/>
      <c r="L150" s="38"/>
      <c r="M150" s="38"/>
      <c r="N150" s="38"/>
      <c r="O150" s="38"/>
      <c r="P150" s="35"/>
      <c r="Q150" s="35"/>
    </row>
    <row r="151" spans="1:17" ht="40.799999999999997">
      <c r="A151" s="3">
        <v>149</v>
      </c>
      <c r="B151" s="56"/>
      <c r="C151" s="101" t="str">
        <f t="shared" si="4"/>
        <v>**</v>
      </c>
      <c r="D151" s="35"/>
      <c r="E151" s="35"/>
      <c r="F151" s="5" t="str">
        <f t="shared" si="5"/>
        <v/>
      </c>
      <c r="G151" s="3"/>
      <c r="H151" s="35"/>
      <c r="I151" s="35"/>
      <c r="J151" s="35"/>
      <c r="K151" s="35"/>
      <c r="L151" s="38"/>
      <c r="M151" s="38"/>
      <c r="N151" s="38"/>
      <c r="O151" s="38"/>
      <c r="P151" s="35"/>
      <c r="Q151" s="35"/>
    </row>
    <row r="152" spans="1:17" ht="40.799999999999997">
      <c r="A152" s="3">
        <v>150</v>
      </c>
      <c r="B152" s="56"/>
      <c r="C152" s="101" t="str">
        <f t="shared" si="4"/>
        <v>**</v>
      </c>
      <c r="D152" s="35"/>
      <c r="E152" s="35"/>
      <c r="F152" s="5" t="str">
        <f t="shared" si="5"/>
        <v/>
      </c>
      <c r="G152" s="3"/>
      <c r="H152" s="35"/>
      <c r="I152" s="35"/>
      <c r="J152" s="35"/>
      <c r="K152" s="35"/>
      <c r="L152" s="38"/>
      <c r="M152" s="38"/>
      <c r="N152" s="38"/>
      <c r="O152" s="38"/>
      <c r="P152" s="35"/>
      <c r="Q152" s="35"/>
    </row>
    <row r="153" spans="1:17" ht="40.799999999999997">
      <c r="A153" s="3">
        <v>151</v>
      </c>
      <c r="B153" s="56"/>
      <c r="C153" s="101" t="str">
        <f t="shared" si="4"/>
        <v>**</v>
      </c>
      <c r="D153" s="35"/>
      <c r="E153" s="35"/>
      <c r="F153" s="5" t="str">
        <f t="shared" si="5"/>
        <v/>
      </c>
      <c r="G153" s="3"/>
      <c r="H153" s="35"/>
      <c r="I153" s="35"/>
      <c r="J153" s="35"/>
      <c r="K153" s="35"/>
      <c r="L153" s="38"/>
      <c r="M153" s="38"/>
      <c r="N153" s="38"/>
      <c r="O153" s="38"/>
      <c r="P153" s="35"/>
      <c r="Q153" s="35"/>
    </row>
    <row r="154" spans="1:17" ht="40.799999999999997">
      <c r="A154" s="3">
        <v>152</v>
      </c>
      <c r="B154" s="56"/>
      <c r="C154" s="101" t="str">
        <f t="shared" si="4"/>
        <v>**</v>
      </c>
      <c r="D154" s="35"/>
      <c r="E154" s="35"/>
      <c r="F154" s="5" t="str">
        <f t="shared" si="5"/>
        <v/>
      </c>
      <c r="G154" s="3"/>
      <c r="H154" s="35"/>
      <c r="I154" s="35"/>
      <c r="J154" s="35"/>
      <c r="K154" s="35"/>
      <c r="L154" s="38"/>
      <c r="M154" s="38"/>
      <c r="N154" s="38"/>
      <c r="O154" s="38"/>
      <c r="P154" s="35"/>
      <c r="Q154" s="35"/>
    </row>
    <row r="155" spans="1:17" ht="40.799999999999997">
      <c r="A155" s="3">
        <v>153</v>
      </c>
      <c r="B155" s="56"/>
      <c r="C155" s="101" t="str">
        <f t="shared" ref="C155:C162" si="6">"*"&amp;B155&amp;"*"</f>
        <v>**</v>
      </c>
      <c r="D155" s="35"/>
      <c r="E155" s="35"/>
      <c r="F155" s="5" t="str">
        <f t="shared" ref="F155:F162" si="7">UPPER(E155)</f>
        <v/>
      </c>
      <c r="G155" s="3"/>
      <c r="H155" s="35"/>
      <c r="I155" s="35"/>
      <c r="J155" s="35"/>
      <c r="K155" s="35"/>
      <c r="L155" s="38"/>
      <c r="M155" s="38"/>
      <c r="N155" s="38"/>
      <c r="O155" s="38"/>
      <c r="P155" s="35"/>
      <c r="Q155" s="35"/>
    </row>
    <row r="156" spans="1:17" ht="40.799999999999997">
      <c r="A156" s="3">
        <v>154</v>
      </c>
      <c r="B156" s="56"/>
      <c r="C156" s="101" t="str">
        <f t="shared" si="6"/>
        <v>**</v>
      </c>
      <c r="D156" s="35"/>
      <c r="E156" s="35"/>
      <c r="F156" s="5" t="str">
        <f t="shared" si="7"/>
        <v/>
      </c>
      <c r="G156" s="3"/>
      <c r="H156" s="35"/>
      <c r="I156" s="35"/>
      <c r="J156" s="35"/>
      <c r="K156" s="35"/>
      <c r="L156" s="38"/>
      <c r="M156" s="38"/>
      <c r="N156" s="38"/>
      <c r="O156" s="38"/>
      <c r="P156" s="35"/>
      <c r="Q156" s="35"/>
    </row>
    <row r="157" spans="1:17" ht="40.799999999999997">
      <c r="A157" s="3">
        <v>155</v>
      </c>
      <c r="B157" s="56"/>
      <c r="C157" s="101" t="str">
        <f t="shared" si="6"/>
        <v>**</v>
      </c>
      <c r="D157" s="35"/>
      <c r="E157" s="35"/>
      <c r="F157" s="5" t="str">
        <f t="shared" si="7"/>
        <v/>
      </c>
      <c r="G157" s="3"/>
      <c r="H157" s="35"/>
      <c r="I157" s="35"/>
      <c r="J157" s="35"/>
      <c r="K157" s="35"/>
      <c r="L157" s="38"/>
      <c r="M157" s="38"/>
      <c r="N157" s="38"/>
      <c r="O157" s="38"/>
      <c r="P157" s="35"/>
      <c r="Q157" s="35"/>
    </row>
    <row r="158" spans="1:17" ht="40.799999999999997">
      <c r="A158" s="3">
        <v>156</v>
      </c>
      <c r="B158" s="56"/>
      <c r="C158" s="101" t="str">
        <f t="shared" si="6"/>
        <v>**</v>
      </c>
      <c r="D158" s="35"/>
      <c r="E158" s="35"/>
      <c r="F158" s="5" t="str">
        <f t="shared" si="7"/>
        <v/>
      </c>
      <c r="G158" s="3"/>
      <c r="H158" s="35"/>
      <c r="I158" s="35"/>
      <c r="J158" s="35"/>
      <c r="K158" s="35"/>
      <c r="L158" s="38"/>
      <c r="M158" s="38"/>
      <c r="N158" s="38"/>
      <c r="O158" s="38"/>
      <c r="P158" s="35"/>
      <c r="Q158" s="35"/>
    </row>
    <row r="159" spans="1:17" ht="40.799999999999997">
      <c r="A159" s="3">
        <v>157</v>
      </c>
      <c r="B159" s="56"/>
      <c r="C159" s="101" t="str">
        <f t="shared" si="6"/>
        <v>**</v>
      </c>
      <c r="D159" s="35"/>
      <c r="E159" s="35"/>
      <c r="F159" s="5" t="str">
        <f t="shared" si="7"/>
        <v/>
      </c>
      <c r="G159" s="3"/>
      <c r="H159" s="35"/>
      <c r="I159" s="35"/>
      <c r="J159" s="35"/>
      <c r="K159" s="35"/>
      <c r="L159" s="38"/>
      <c r="M159" s="38"/>
      <c r="N159" s="38"/>
      <c r="O159" s="38"/>
      <c r="P159" s="35"/>
      <c r="Q159" s="35"/>
    </row>
    <row r="160" spans="1:17" ht="40.799999999999997">
      <c r="A160" s="3">
        <v>158</v>
      </c>
      <c r="B160" s="56"/>
      <c r="C160" s="101" t="str">
        <f t="shared" si="6"/>
        <v>**</v>
      </c>
      <c r="D160" s="35"/>
      <c r="E160" s="35"/>
      <c r="F160" s="5" t="str">
        <f t="shared" si="7"/>
        <v/>
      </c>
      <c r="G160" s="3"/>
      <c r="H160" s="35"/>
      <c r="I160" s="35"/>
      <c r="J160" s="35"/>
      <c r="K160" s="35"/>
      <c r="L160" s="38"/>
      <c r="M160" s="38"/>
      <c r="N160" s="38"/>
      <c r="O160" s="38"/>
      <c r="P160" s="35"/>
      <c r="Q160" s="35"/>
    </row>
    <row r="161" spans="1:17" ht="40.799999999999997">
      <c r="A161" s="3">
        <v>159</v>
      </c>
      <c r="B161" s="56"/>
      <c r="C161" s="101" t="str">
        <f t="shared" si="6"/>
        <v>**</v>
      </c>
      <c r="D161" s="35"/>
      <c r="E161" s="35"/>
      <c r="F161" s="5" t="str">
        <f t="shared" si="7"/>
        <v/>
      </c>
      <c r="G161" s="3"/>
      <c r="H161" s="35"/>
      <c r="I161" s="35"/>
      <c r="J161" s="35"/>
      <c r="K161" s="35"/>
      <c r="L161" s="38"/>
      <c r="M161" s="38"/>
      <c r="N161" s="38"/>
      <c r="O161" s="38"/>
      <c r="P161" s="35"/>
      <c r="Q161" s="35"/>
    </row>
    <row r="162" spans="1:17" ht="40.799999999999997">
      <c r="A162" s="3">
        <v>160</v>
      </c>
      <c r="B162" s="56"/>
      <c r="C162" s="101" t="str">
        <f t="shared" si="6"/>
        <v>**</v>
      </c>
      <c r="D162" s="35"/>
      <c r="E162" s="35"/>
      <c r="F162" s="5" t="str">
        <f t="shared" si="7"/>
        <v/>
      </c>
      <c r="G162" s="3"/>
      <c r="H162" s="3"/>
      <c r="I162" s="35"/>
      <c r="J162" s="35"/>
      <c r="K162" s="35"/>
      <c r="L162" s="38"/>
      <c r="M162" s="38"/>
      <c r="N162" s="38"/>
      <c r="O162" s="38"/>
      <c r="P162" s="35"/>
      <c r="Q162" s="35"/>
    </row>
    <row r="163" spans="1:17" ht="40.799999999999997">
      <c r="A163" s="3">
        <v>161</v>
      </c>
      <c r="B163" s="56"/>
      <c r="C163" s="101" t="str">
        <f t="shared" ref="C163:C189" si="8">"*"&amp;B163&amp;"*"</f>
        <v>**</v>
      </c>
      <c r="D163" s="35"/>
      <c r="E163" s="35"/>
      <c r="F163" s="5" t="str">
        <f t="shared" ref="F163:F189" si="9">UPPER(E163)</f>
        <v/>
      </c>
      <c r="G163" s="3"/>
      <c r="H163" s="35"/>
      <c r="I163" s="35"/>
      <c r="J163" s="35"/>
      <c r="K163" s="35"/>
      <c r="L163" s="38"/>
      <c r="M163" s="38"/>
      <c r="N163" s="38"/>
      <c r="O163" s="38"/>
      <c r="P163" s="35"/>
      <c r="Q163" s="35"/>
    </row>
    <row r="164" spans="1:17" ht="40.799999999999997">
      <c r="A164" s="3">
        <v>162</v>
      </c>
      <c r="B164" s="56"/>
      <c r="C164" s="101" t="str">
        <f t="shared" si="8"/>
        <v>**</v>
      </c>
      <c r="D164" s="35"/>
      <c r="E164" s="35"/>
      <c r="F164" s="5" t="str">
        <f t="shared" si="9"/>
        <v/>
      </c>
      <c r="G164" s="3"/>
      <c r="H164" s="3"/>
      <c r="I164" s="35"/>
      <c r="J164" s="35"/>
      <c r="K164" s="35"/>
      <c r="L164" s="38"/>
      <c r="M164" s="38"/>
      <c r="N164" s="38"/>
      <c r="O164" s="38"/>
      <c r="P164" s="35"/>
      <c r="Q164" s="35"/>
    </row>
    <row r="165" spans="1:17" ht="40.799999999999997">
      <c r="A165" s="3">
        <v>163</v>
      </c>
      <c r="B165" s="56"/>
      <c r="C165" s="101" t="str">
        <f t="shared" si="8"/>
        <v>**</v>
      </c>
      <c r="D165" s="35"/>
      <c r="E165" s="35"/>
      <c r="F165" s="5" t="str">
        <f t="shared" si="9"/>
        <v/>
      </c>
      <c r="G165" s="3"/>
      <c r="H165" s="35"/>
      <c r="I165" s="35"/>
      <c r="J165" s="35"/>
      <c r="K165" s="35"/>
      <c r="L165" s="38"/>
      <c r="M165" s="38"/>
      <c r="N165" s="38"/>
      <c r="O165" s="38"/>
      <c r="P165" s="35"/>
      <c r="Q165" s="35"/>
    </row>
    <row r="166" spans="1:17" ht="40.799999999999997">
      <c r="A166" s="3">
        <v>164</v>
      </c>
      <c r="B166" s="56"/>
      <c r="C166" s="101" t="str">
        <f t="shared" si="8"/>
        <v>**</v>
      </c>
      <c r="D166" s="35"/>
      <c r="E166" s="35"/>
      <c r="F166" s="5" t="str">
        <f t="shared" si="9"/>
        <v/>
      </c>
      <c r="G166" s="3"/>
      <c r="H166" s="3"/>
      <c r="I166" s="35"/>
      <c r="J166" s="35"/>
      <c r="K166" s="35"/>
      <c r="L166" s="38"/>
      <c r="M166" s="38"/>
      <c r="N166" s="38"/>
      <c r="O166" s="38"/>
      <c r="P166" s="35"/>
      <c r="Q166" s="35"/>
    </row>
    <row r="167" spans="1:17" ht="40.799999999999997">
      <c r="A167" s="3">
        <v>165</v>
      </c>
      <c r="B167" s="56"/>
      <c r="C167" s="101" t="str">
        <f t="shared" si="8"/>
        <v>**</v>
      </c>
      <c r="D167" s="35"/>
      <c r="E167" s="35"/>
      <c r="F167" s="5" t="str">
        <f t="shared" si="9"/>
        <v/>
      </c>
      <c r="G167" s="3"/>
      <c r="H167" s="35"/>
      <c r="I167" s="35"/>
      <c r="J167" s="35"/>
      <c r="K167" s="35"/>
      <c r="L167" s="38"/>
      <c r="M167" s="38"/>
      <c r="N167" s="38"/>
      <c r="O167" s="38"/>
      <c r="P167" s="35"/>
      <c r="Q167" s="35"/>
    </row>
    <row r="168" spans="1:17" ht="40.799999999999997">
      <c r="A168" s="3">
        <v>166</v>
      </c>
      <c r="B168" s="56"/>
      <c r="C168" s="101" t="str">
        <f t="shared" si="8"/>
        <v>**</v>
      </c>
      <c r="D168" s="35"/>
      <c r="E168" s="35"/>
      <c r="F168" s="5" t="str">
        <f t="shared" si="9"/>
        <v/>
      </c>
      <c r="G168" s="3"/>
      <c r="H168" s="3"/>
      <c r="I168" s="35"/>
      <c r="J168" s="35"/>
      <c r="K168" s="35"/>
      <c r="L168" s="38"/>
      <c r="M168" s="38"/>
      <c r="N168" s="38"/>
      <c r="O168" s="38"/>
      <c r="P168" s="35"/>
      <c r="Q168" s="35"/>
    </row>
    <row r="169" spans="1:17" ht="40.799999999999997">
      <c r="A169" s="3">
        <v>167</v>
      </c>
      <c r="B169" s="56"/>
      <c r="C169" s="101" t="str">
        <f t="shared" si="8"/>
        <v>**</v>
      </c>
      <c r="D169" s="35"/>
      <c r="E169" s="35"/>
      <c r="F169" s="5" t="str">
        <f t="shared" si="9"/>
        <v/>
      </c>
      <c r="G169" s="3"/>
      <c r="H169" s="35"/>
      <c r="I169" s="35"/>
      <c r="J169" s="35"/>
      <c r="K169" s="35"/>
      <c r="L169" s="38"/>
      <c r="M169" s="38"/>
      <c r="N169" s="38"/>
      <c r="O169" s="38"/>
      <c r="P169" s="35"/>
      <c r="Q169" s="35"/>
    </row>
    <row r="170" spans="1:17" ht="40.799999999999997">
      <c r="A170" s="3">
        <v>168</v>
      </c>
      <c r="B170" s="56"/>
      <c r="C170" s="101" t="str">
        <f t="shared" si="8"/>
        <v>**</v>
      </c>
      <c r="D170" s="35"/>
      <c r="E170" s="35"/>
      <c r="F170" s="5" t="str">
        <f t="shared" si="9"/>
        <v/>
      </c>
      <c r="G170" s="3"/>
      <c r="H170" s="3"/>
      <c r="I170" s="35"/>
      <c r="J170" s="35"/>
      <c r="K170" s="35"/>
      <c r="L170" s="38"/>
      <c r="M170" s="38"/>
      <c r="N170" s="38"/>
      <c r="O170" s="38"/>
      <c r="P170" s="35"/>
      <c r="Q170" s="35"/>
    </row>
    <row r="171" spans="1:17" ht="40.799999999999997">
      <c r="A171" s="3">
        <v>169</v>
      </c>
      <c r="B171" s="56"/>
      <c r="C171" s="101" t="str">
        <f t="shared" si="8"/>
        <v>**</v>
      </c>
      <c r="D171" s="35"/>
      <c r="E171" s="35"/>
      <c r="F171" s="5" t="str">
        <f t="shared" si="9"/>
        <v/>
      </c>
      <c r="G171" s="3"/>
      <c r="H171" s="35"/>
      <c r="I171" s="35"/>
      <c r="J171" s="35"/>
      <c r="K171" s="35"/>
      <c r="L171" s="38"/>
      <c r="M171" s="38"/>
      <c r="N171" s="38"/>
      <c r="O171" s="38"/>
      <c r="P171" s="35"/>
      <c r="Q171" s="35"/>
    </row>
    <row r="172" spans="1:17" ht="40.799999999999997">
      <c r="A172" s="3">
        <v>170</v>
      </c>
      <c r="B172" s="56"/>
      <c r="C172" s="101" t="str">
        <f t="shared" si="8"/>
        <v>**</v>
      </c>
      <c r="D172" s="35"/>
      <c r="E172" s="35"/>
      <c r="F172" s="5" t="str">
        <f t="shared" si="9"/>
        <v/>
      </c>
      <c r="G172" s="3"/>
      <c r="H172" s="3"/>
      <c r="I172" s="35"/>
      <c r="J172" s="35"/>
      <c r="K172" s="35"/>
      <c r="L172" s="38"/>
      <c r="M172" s="38"/>
      <c r="N172" s="38"/>
      <c r="O172" s="38"/>
      <c r="P172" s="35"/>
      <c r="Q172" s="35"/>
    </row>
    <row r="173" spans="1:17" ht="40.799999999999997">
      <c r="A173" s="3">
        <v>171</v>
      </c>
      <c r="B173" s="56"/>
      <c r="C173" s="101" t="str">
        <f t="shared" si="8"/>
        <v>**</v>
      </c>
      <c r="D173" s="35"/>
      <c r="E173" s="35"/>
      <c r="F173" s="5" t="str">
        <f t="shared" si="9"/>
        <v/>
      </c>
      <c r="G173" s="3"/>
      <c r="H173" s="35"/>
      <c r="I173" s="35"/>
      <c r="J173" s="35"/>
      <c r="K173" s="35"/>
      <c r="L173" s="38"/>
      <c r="M173" s="38"/>
      <c r="N173" s="38"/>
      <c r="O173" s="38"/>
      <c r="P173" s="35"/>
      <c r="Q173" s="35"/>
    </row>
    <row r="174" spans="1:17" ht="40.799999999999997">
      <c r="A174" s="3">
        <v>172</v>
      </c>
      <c r="B174" s="56"/>
      <c r="C174" s="101" t="str">
        <f t="shared" si="8"/>
        <v>**</v>
      </c>
      <c r="D174" s="35"/>
      <c r="E174" s="35"/>
      <c r="F174" s="5" t="str">
        <f t="shared" si="9"/>
        <v/>
      </c>
      <c r="G174" s="3"/>
      <c r="H174" s="3"/>
      <c r="I174" s="35"/>
      <c r="J174" s="35"/>
      <c r="K174" s="35"/>
      <c r="L174" s="38"/>
      <c r="M174" s="38"/>
      <c r="N174" s="38"/>
      <c r="O174" s="38"/>
      <c r="P174" s="35"/>
      <c r="Q174" s="35"/>
    </row>
    <row r="175" spans="1:17" ht="40.799999999999997">
      <c r="A175" s="3">
        <v>173</v>
      </c>
      <c r="B175" s="56"/>
      <c r="C175" s="101" t="str">
        <f t="shared" si="8"/>
        <v>**</v>
      </c>
      <c r="D175" s="35"/>
      <c r="E175" s="35"/>
      <c r="F175" s="5" t="str">
        <f t="shared" si="9"/>
        <v/>
      </c>
      <c r="G175" s="3"/>
      <c r="H175" s="35"/>
      <c r="I175" s="35"/>
      <c r="J175" s="35"/>
      <c r="K175" s="35"/>
      <c r="L175" s="38"/>
      <c r="M175" s="38"/>
      <c r="N175" s="38"/>
      <c r="O175" s="38"/>
      <c r="P175" s="35"/>
      <c r="Q175" s="35"/>
    </row>
    <row r="176" spans="1:17" ht="40.799999999999997">
      <c r="A176" s="3">
        <v>174</v>
      </c>
      <c r="B176" s="56"/>
      <c r="C176" s="101" t="str">
        <f t="shared" si="8"/>
        <v>**</v>
      </c>
      <c r="D176" s="35"/>
      <c r="E176" s="35"/>
      <c r="F176" s="5" t="str">
        <f t="shared" si="9"/>
        <v/>
      </c>
      <c r="G176" s="3"/>
      <c r="H176" s="3"/>
      <c r="I176" s="35"/>
      <c r="J176" s="35"/>
      <c r="K176" s="35"/>
      <c r="L176" s="38"/>
      <c r="M176" s="38"/>
      <c r="N176" s="38"/>
      <c r="O176" s="38"/>
      <c r="P176" s="35"/>
      <c r="Q176" s="35"/>
    </row>
    <row r="177" spans="1:17" ht="40.799999999999997">
      <c r="A177" s="3">
        <v>175</v>
      </c>
      <c r="B177" s="56"/>
      <c r="C177" s="101" t="str">
        <f t="shared" si="8"/>
        <v>**</v>
      </c>
      <c r="D177" s="35"/>
      <c r="E177" s="35"/>
      <c r="F177" s="5" t="str">
        <f t="shared" si="9"/>
        <v/>
      </c>
      <c r="G177" s="3"/>
      <c r="H177" s="35"/>
      <c r="I177" s="35"/>
      <c r="J177" s="35"/>
      <c r="K177" s="35"/>
      <c r="L177" s="38"/>
      <c r="M177" s="38"/>
      <c r="N177" s="38"/>
      <c r="O177" s="38"/>
      <c r="P177" s="35"/>
      <c r="Q177" s="35"/>
    </row>
    <row r="178" spans="1:17" ht="40.799999999999997">
      <c r="A178" s="3">
        <v>176</v>
      </c>
      <c r="B178" s="56"/>
      <c r="C178" s="101" t="str">
        <f t="shared" si="8"/>
        <v>**</v>
      </c>
      <c r="D178" s="35"/>
      <c r="E178" s="35"/>
      <c r="F178" s="5" t="str">
        <f t="shared" si="9"/>
        <v/>
      </c>
      <c r="G178" s="3"/>
      <c r="H178" s="3"/>
      <c r="I178" s="35"/>
      <c r="J178" s="35"/>
      <c r="K178" s="35"/>
      <c r="L178" s="38"/>
      <c r="M178" s="38"/>
      <c r="N178" s="38"/>
      <c r="O178" s="38"/>
      <c r="P178" s="35"/>
      <c r="Q178" s="35"/>
    </row>
    <row r="179" spans="1:17" ht="40.799999999999997">
      <c r="A179" s="3">
        <v>177</v>
      </c>
      <c r="B179" s="56"/>
      <c r="C179" s="101" t="str">
        <f t="shared" si="8"/>
        <v>**</v>
      </c>
      <c r="D179" s="35"/>
      <c r="E179" s="35"/>
      <c r="F179" s="5" t="str">
        <f t="shared" si="9"/>
        <v/>
      </c>
      <c r="G179" s="3"/>
      <c r="H179" s="35"/>
      <c r="I179" s="35"/>
      <c r="J179" s="35"/>
      <c r="K179" s="35"/>
      <c r="L179" s="38"/>
      <c r="M179" s="38"/>
      <c r="N179" s="38"/>
      <c r="O179" s="38"/>
      <c r="P179" s="35"/>
      <c r="Q179" s="35"/>
    </row>
    <row r="180" spans="1:17" ht="40.799999999999997">
      <c r="A180" s="3">
        <v>178</v>
      </c>
      <c r="B180" s="56"/>
      <c r="C180" s="101" t="str">
        <f t="shared" si="8"/>
        <v>**</v>
      </c>
      <c r="D180" s="35"/>
      <c r="E180" s="35"/>
      <c r="F180" s="5" t="str">
        <f t="shared" si="9"/>
        <v/>
      </c>
      <c r="G180" s="3"/>
      <c r="H180" s="3"/>
      <c r="I180" s="35"/>
      <c r="J180" s="35"/>
      <c r="K180" s="35"/>
      <c r="L180" s="38"/>
      <c r="M180" s="38"/>
      <c r="N180" s="38"/>
      <c r="O180" s="38"/>
      <c r="P180" s="35"/>
      <c r="Q180" s="35"/>
    </row>
    <row r="181" spans="1:17" ht="40.799999999999997">
      <c r="A181" s="3">
        <v>179</v>
      </c>
      <c r="B181" s="56"/>
      <c r="C181" s="101" t="str">
        <f t="shared" si="8"/>
        <v>**</v>
      </c>
      <c r="D181" s="35"/>
      <c r="E181" s="35"/>
      <c r="F181" s="5" t="str">
        <f t="shared" si="9"/>
        <v/>
      </c>
      <c r="G181" s="3"/>
      <c r="H181" s="35"/>
      <c r="I181" s="35"/>
      <c r="J181" s="35"/>
      <c r="K181" s="35"/>
      <c r="L181" s="38"/>
      <c r="M181" s="38"/>
      <c r="N181" s="38"/>
      <c r="O181" s="38"/>
      <c r="P181" s="35"/>
      <c r="Q181" s="35"/>
    </row>
    <row r="182" spans="1:17" ht="40.799999999999997">
      <c r="A182" s="3">
        <v>180</v>
      </c>
      <c r="B182" s="56"/>
      <c r="C182" s="101" t="str">
        <f t="shared" si="8"/>
        <v>**</v>
      </c>
      <c r="D182" s="35"/>
      <c r="E182" s="35"/>
      <c r="F182" s="5" t="str">
        <f t="shared" si="9"/>
        <v/>
      </c>
      <c r="G182" s="3"/>
      <c r="H182" s="3"/>
      <c r="I182" s="35"/>
      <c r="J182" s="35"/>
      <c r="K182" s="35"/>
      <c r="L182" s="38"/>
      <c r="M182" s="38"/>
      <c r="N182" s="38"/>
      <c r="O182" s="38"/>
      <c r="P182" s="35"/>
      <c r="Q182" s="35"/>
    </row>
    <row r="183" spans="1:17" ht="40.799999999999997">
      <c r="A183" s="3">
        <v>181</v>
      </c>
      <c r="B183" s="56"/>
      <c r="C183" s="101" t="str">
        <f t="shared" si="8"/>
        <v>**</v>
      </c>
      <c r="D183" s="35"/>
      <c r="E183" s="35"/>
      <c r="F183" s="5" t="str">
        <f t="shared" si="9"/>
        <v/>
      </c>
      <c r="G183" s="3"/>
      <c r="H183" s="35"/>
      <c r="I183" s="35"/>
      <c r="J183" s="35"/>
      <c r="K183" s="35"/>
      <c r="L183" s="38"/>
      <c r="M183" s="38"/>
      <c r="N183" s="38"/>
      <c r="O183" s="38"/>
      <c r="P183" s="35"/>
      <c r="Q183" s="35"/>
    </row>
    <row r="184" spans="1:17" ht="40.799999999999997">
      <c r="A184" s="3">
        <v>182</v>
      </c>
      <c r="B184" s="56"/>
      <c r="C184" s="101" t="str">
        <f t="shared" si="8"/>
        <v>**</v>
      </c>
      <c r="D184" s="35"/>
      <c r="E184" s="35"/>
      <c r="F184" s="5" t="str">
        <f t="shared" si="9"/>
        <v/>
      </c>
      <c r="G184" s="3"/>
      <c r="H184" s="3"/>
      <c r="I184" s="35"/>
      <c r="J184" s="35"/>
      <c r="K184" s="35"/>
      <c r="L184" s="38"/>
      <c r="M184" s="38"/>
      <c r="N184" s="38"/>
      <c r="O184" s="38"/>
      <c r="P184" s="35"/>
      <c r="Q184" s="35"/>
    </row>
    <row r="185" spans="1:17" ht="40.799999999999997">
      <c r="A185" s="3">
        <v>183</v>
      </c>
      <c r="B185" s="56"/>
      <c r="C185" s="101" t="str">
        <f t="shared" si="8"/>
        <v>**</v>
      </c>
      <c r="D185" s="35"/>
      <c r="E185" s="35"/>
      <c r="F185" s="5" t="str">
        <f t="shared" si="9"/>
        <v/>
      </c>
      <c r="G185" s="3"/>
      <c r="H185" s="35"/>
      <c r="I185" s="35"/>
      <c r="J185" s="35"/>
      <c r="K185" s="35"/>
      <c r="L185" s="38"/>
      <c r="M185" s="38"/>
      <c r="N185" s="38"/>
      <c r="O185" s="38"/>
      <c r="P185" s="35"/>
      <c r="Q185" s="35"/>
    </row>
    <row r="186" spans="1:17" ht="40.799999999999997">
      <c r="A186" s="3">
        <v>184</v>
      </c>
      <c r="B186" s="56"/>
      <c r="C186" s="101" t="str">
        <f t="shared" si="8"/>
        <v>**</v>
      </c>
      <c r="D186" s="35"/>
      <c r="E186" s="35"/>
      <c r="F186" s="5" t="str">
        <f t="shared" si="9"/>
        <v/>
      </c>
      <c r="G186" s="3"/>
      <c r="H186" s="3"/>
      <c r="I186" s="35"/>
      <c r="J186" s="35"/>
      <c r="K186" s="35"/>
      <c r="L186" s="38"/>
      <c r="M186" s="38"/>
      <c r="N186" s="38"/>
      <c r="O186" s="38"/>
      <c r="P186" s="35"/>
      <c r="Q186" s="35"/>
    </row>
    <row r="187" spans="1:17" ht="40.799999999999997">
      <c r="A187" s="3">
        <v>185</v>
      </c>
      <c r="B187" s="56"/>
      <c r="C187" s="101" t="str">
        <f t="shared" si="8"/>
        <v>**</v>
      </c>
      <c r="D187" s="35"/>
      <c r="E187" s="35"/>
      <c r="F187" s="5" t="str">
        <f t="shared" si="9"/>
        <v/>
      </c>
      <c r="G187" s="3"/>
      <c r="H187" s="35"/>
      <c r="I187" s="35"/>
      <c r="J187" s="35"/>
      <c r="K187" s="35"/>
      <c r="L187" s="38"/>
      <c r="M187" s="38"/>
      <c r="N187" s="38"/>
      <c r="O187" s="38"/>
      <c r="P187" s="35"/>
      <c r="Q187" s="35"/>
    </row>
    <row r="188" spans="1:17" ht="40.799999999999997">
      <c r="A188" s="3">
        <v>186</v>
      </c>
      <c r="B188" s="56"/>
      <c r="C188" s="101" t="str">
        <f t="shared" si="8"/>
        <v>**</v>
      </c>
      <c r="D188" s="35"/>
      <c r="E188" s="35"/>
      <c r="F188" s="5" t="str">
        <f t="shared" si="9"/>
        <v/>
      </c>
      <c r="G188" s="3"/>
      <c r="H188" s="3"/>
      <c r="I188" s="35"/>
      <c r="J188" s="35"/>
      <c r="K188" s="35"/>
      <c r="L188" s="38"/>
      <c r="M188" s="38"/>
      <c r="N188" s="38"/>
      <c r="O188" s="38"/>
      <c r="P188" s="35"/>
      <c r="Q188" s="35"/>
    </row>
    <row r="189" spans="1:17" ht="40.799999999999997">
      <c r="A189" s="3">
        <v>187</v>
      </c>
      <c r="B189" s="56"/>
      <c r="C189" s="101" t="str">
        <f t="shared" si="8"/>
        <v>**</v>
      </c>
      <c r="D189" s="35"/>
      <c r="E189" s="35"/>
      <c r="F189" s="5" t="str">
        <f t="shared" si="9"/>
        <v/>
      </c>
      <c r="G189" s="3"/>
      <c r="H189" s="35"/>
      <c r="I189" s="35"/>
      <c r="J189" s="35"/>
      <c r="K189" s="35"/>
      <c r="L189" s="38"/>
      <c r="M189" s="38"/>
      <c r="N189" s="38"/>
      <c r="O189" s="38"/>
      <c r="P189" s="35"/>
      <c r="Q189" s="35"/>
    </row>
    <row r="190" spans="1:17" ht="40.799999999999997">
      <c r="A190" s="3">
        <v>188</v>
      </c>
      <c r="B190" s="56"/>
      <c r="C190" s="101" t="str">
        <f t="shared" ref="C190:C198" si="10">"*"&amp;B190&amp;"*"</f>
        <v>**</v>
      </c>
      <c r="D190" s="35"/>
      <c r="E190" s="35"/>
      <c r="F190" s="5" t="str">
        <f t="shared" ref="F190:F198" si="11">UPPER(E190)</f>
        <v/>
      </c>
      <c r="G190" s="3"/>
      <c r="H190" s="3"/>
      <c r="I190" s="35"/>
      <c r="J190" s="35"/>
      <c r="K190" s="35"/>
      <c r="L190" s="38"/>
      <c r="M190" s="38"/>
      <c r="N190" s="38"/>
      <c r="O190" s="38"/>
      <c r="P190" s="35"/>
      <c r="Q190" s="35"/>
    </row>
    <row r="191" spans="1:17" ht="40.799999999999997">
      <c r="A191" s="3">
        <v>189</v>
      </c>
      <c r="B191" s="56"/>
      <c r="C191" s="101" t="str">
        <f t="shared" si="10"/>
        <v>**</v>
      </c>
      <c r="D191" s="35"/>
      <c r="E191" s="35"/>
      <c r="F191" s="5" t="str">
        <f t="shared" si="11"/>
        <v/>
      </c>
      <c r="G191" s="3"/>
      <c r="H191" s="35"/>
      <c r="I191" s="35"/>
      <c r="J191" s="35"/>
      <c r="K191" s="35"/>
      <c r="L191" s="38"/>
      <c r="M191" s="38"/>
      <c r="N191" s="38"/>
      <c r="O191" s="38"/>
      <c r="P191" s="35"/>
      <c r="Q191" s="35"/>
    </row>
    <row r="192" spans="1:17" ht="40.799999999999997">
      <c r="A192" s="3">
        <v>190</v>
      </c>
      <c r="B192" s="56"/>
      <c r="C192" s="101" t="str">
        <f t="shared" si="10"/>
        <v>**</v>
      </c>
      <c r="D192" s="35"/>
      <c r="E192" s="35"/>
      <c r="F192" s="5" t="str">
        <f t="shared" si="11"/>
        <v/>
      </c>
      <c r="G192" s="3"/>
      <c r="H192" s="3"/>
      <c r="I192" s="35"/>
      <c r="J192" s="35"/>
      <c r="K192" s="35"/>
      <c r="L192" s="38"/>
      <c r="M192" s="38"/>
      <c r="N192" s="38"/>
      <c r="O192" s="38"/>
      <c r="P192" s="35"/>
      <c r="Q192" s="35"/>
    </row>
    <row r="193" spans="1:17" ht="40.799999999999997">
      <c r="A193" s="3">
        <v>191</v>
      </c>
      <c r="B193" s="56"/>
      <c r="C193" s="101" t="str">
        <f t="shared" si="10"/>
        <v>**</v>
      </c>
      <c r="D193" s="35"/>
      <c r="E193" s="35"/>
      <c r="F193" s="5" t="str">
        <f t="shared" si="11"/>
        <v/>
      </c>
      <c r="G193" s="3"/>
      <c r="H193" s="35"/>
      <c r="I193" s="35"/>
      <c r="J193" s="35"/>
      <c r="K193" s="35"/>
      <c r="L193" s="38"/>
      <c r="M193" s="38"/>
      <c r="N193" s="38"/>
      <c r="O193" s="38"/>
      <c r="P193" s="35"/>
      <c r="Q193" s="35"/>
    </row>
    <row r="194" spans="1:17" ht="40.799999999999997">
      <c r="A194" s="3">
        <v>192</v>
      </c>
      <c r="B194" s="56"/>
      <c r="C194" s="101" t="str">
        <f t="shared" si="10"/>
        <v>**</v>
      </c>
      <c r="D194" s="35"/>
      <c r="E194" s="35"/>
      <c r="F194" s="5" t="str">
        <f t="shared" si="11"/>
        <v/>
      </c>
      <c r="G194" s="3"/>
      <c r="H194" s="3"/>
      <c r="I194" s="35"/>
      <c r="J194" s="35"/>
      <c r="K194" s="35"/>
      <c r="L194" s="38"/>
      <c r="M194" s="38"/>
      <c r="N194" s="38"/>
      <c r="O194" s="38"/>
      <c r="P194" s="35"/>
      <c r="Q194" s="35"/>
    </row>
    <row r="195" spans="1:17" ht="40.799999999999997">
      <c r="A195" s="3">
        <v>193</v>
      </c>
      <c r="B195" s="56"/>
      <c r="C195" s="101" t="str">
        <f t="shared" si="10"/>
        <v>**</v>
      </c>
      <c r="D195" s="35"/>
      <c r="E195" s="35"/>
      <c r="F195" s="5" t="str">
        <f t="shared" si="11"/>
        <v/>
      </c>
      <c r="G195" s="3"/>
      <c r="H195" s="35"/>
      <c r="I195" s="35"/>
      <c r="J195" s="35"/>
      <c r="K195" s="35"/>
      <c r="L195" s="38"/>
      <c r="M195" s="38"/>
      <c r="N195" s="38"/>
      <c r="O195" s="38"/>
      <c r="P195" s="35"/>
      <c r="Q195" s="35"/>
    </row>
    <row r="196" spans="1:17" ht="40.799999999999997">
      <c r="A196" s="3">
        <v>194</v>
      </c>
      <c r="B196" s="56"/>
      <c r="C196" s="101" t="str">
        <f t="shared" si="10"/>
        <v>**</v>
      </c>
      <c r="D196" s="35"/>
      <c r="E196" s="35"/>
      <c r="F196" s="5" t="str">
        <f t="shared" si="11"/>
        <v/>
      </c>
      <c r="G196" s="3"/>
      <c r="H196" s="3"/>
      <c r="I196" s="35"/>
      <c r="J196" s="35"/>
      <c r="K196" s="35"/>
      <c r="L196" s="38"/>
      <c r="M196" s="38"/>
      <c r="N196" s="38"/>
      <c r="O196" s="38"/>
      <c r="P196" s="35"/>
      <c r="Q196" s="35"/>
    </row>
    <row r="197" spans="1:17" ht="40.799999999999997">
      <c r="A197" s="3">
        <v>195</v>
      </c>
      <c r="B197" s="56"/>
      <c r="C197" s="101" t="str">
        <f t="shared" si="10"/>
        <v>**</v>
      </c>
      <c r="D197" s="35"/>
      <c r="E197" s="35"/>
      <c r="F197" s="5" t="str">
        <f t="shared" si="11"/>
        <v/>
      </c>
      <c r="G197" s="3"/>
      <c r="H197" s="35"/>
      <c r="I197" s="35"/>
      <c r="J197" s="35"/>
      <c r="K197" s="35"/>
      <c r="L197" s="38"/>
      <c r="M197" s="38"/>
      <c r="N197" s="38"/>
      <c r="O197" s="38"/>
      <c r="P197" s="35"/>
      <c r="Q197" s="35"/>
    </row>
    <row r="198" spans="1:17" ht="40.799999999999997">
      <c r="A198" s="3">
        <v>196</v>
      </c>
      <c r="B198" s="56"/>
      <c r="C198" s="101" t="str">
        <f t="shared" si="10"/>
        <v>**</v>
      </c>
      <c r="D198" s="35"/>
      <c r="E198" s="35"/>
      <c r="F198" s="5" t="str">
        <f t="shared" si="11"/>
        <v/>
      </c>
      <c r="G198" s="3"/>
      <c r="H198" s="3"/>
      <c r="I198" s="35"/>
      <c r="J198" s="35"/>
      <c r="K198" s="35"/>
      <c r="L198" s="38"/>
      <c r="M198" s="38"/>
      <c r="N198" s="38"/>
      <c r="O198" s="38"/>
      <c r="P198" s="35"/>
      <c r="Q198" s="35"/>
    </row>
    <row r="199" spans="1:17" ht="40.799999999999997">
      <c r="A199" s="3">
        <v>197</v>
      </c>
      <c r="B199" s="56"/>
      <c r="C199" s="101" t="str">
        <f t="shared" ref="C199:C202" si="12">"*"&amp;B199&amp;"*"</f>
        <v>**</v>
      </c>
      <c r="D199" s="35"/>
      <c r="E199" s="35"/>
      <c r="F199" s="5" t="str">
        <f t="shared" ref="F199:F202" si="13">UPPER(E199)</f>
        <v/>
      </c>
      <c r="G199" s="3"/>
      <c r="H199" s="35"/>
      <c r="I199" s="35"/>
      <c r="J199" s="35"/>
      <c r="K199" s="35"/>
      <c r="L199" s="38"/>
      <c r="M199" s="38"/>
      <c r="N199" s="38"/>
      <c r="O199" s="38"/>
      <c r="P199" s="35"/>
      <c r="Q199" s="35"/>
    </row>
    <row r="200" spans="1:17" ht="40.799999999999997">
      <c r="A200" s="3">
        <v>198</v>
      </c>
      <c r="B200" s="56"/>
      <c r="C200" s="101" t="str">
        <f t="shared" si="12"/>
        <v>**</v>
      </c>
      <c r="D200" s="35"/>
      <c r="E200" s="35"/>
      <c r="F200" s="5" t="str">
        <f>UPPER(E200)</f>
        <v/>
      </c>
      <c r="G200" s="3"/>
      <c r="H200" s="3"/>
      <c r="I200" s="35"/>
      <c r="J200" s="35"/>
      <c r="K200" s="35"/>
      <c r="L200" s="38"/>
      <c r="M200" s="38"/>
      <c r="N200" s="38"/>
      <c r="O200" s="38"/>
      <c r="P200" s="35"/>
      <c r="Q200" s="35"/>
    </row>
    <row r="201" spans="1:17" ht="40.799999999999997">
      <c r="A201" s="3">
        <v>199</v>
      </c>
      <c r="B201" s="56"/>
      <c r="C201" s="101" t="str">
        <f t="shared" si="12"/>
        <v>**</v>
      </c>
      <c r="D201" s="35"/>
      <c r="E201" s="35"/>
      <c r="F201" s="5" t="str">
        <f t="shared" si="13"/>
        <v/>
      </c>
      <c r="G201" s="3"/>
      <c r="H201" s="35"/>
      <c r="I201" s="35"/>
      <c r="J201" s="35"/>
      <c r="K201" s="35"/>
      <c r="L201" s="38"/>
      <c r="M201" s="38"/>
      <c r="N201" s="38"/>
      <c r="O201" s="38"/>
      <c r="P201" s="35"/>
      <c r="Q201" s="35"/>
    </row>
    <row r="202" spans="1:17" ht="40.799999999999997">
      <c r="A202" s="3">
        <v>200</v>
      </c>
      <c r="B202" s="56"/>
      <c r="C202" s="101" t="str">
        <f t="shared" si="12"/>
        <v>**</v>
      </c>
      <c r="D202" s="35"/>
      <c r="E202" s="35"/>
      <c r="F202" s="5" t="str">
        <f t="shared" si="13"/>
        <v/>
      </c>
      <c r="G202" s="3"/>
      <c r="H202" s="3"/>
      <c r="I202" s="35"/>
      <c r="J202" s="35"/>
      <c r="K202" s="35"/>
      <c r="L202" s="38"/>
      <c r="M202" s="38"/>
      <c r="N202" s="38"/>
      <c r="O202" s="38"/>
      <c r="P202" s="35"/>
      <c r="Q202" s="35"/>
    </row>
  </sheetData>
  <autoFilter ref="A2:S202" xr:uid="{00000000-0009-0000-0000-000004000000}"/>
  <mergeCells count="2">
    <mergeCell ref="L1:L2"/>
    <mergeCell ref="M1:M2"/>
  </mergeCells>
  <phoneticPr fontId="34" type="noConversion"/>
  <conditionalFormatting sqref="K1:K1048576">
    <cfRule type="cellIs" dxfId="4" priority="5" operator="equal">
      <formula>"Team"</formula>
    </cfRule>
  </conditionalFormatting>
  <conditionalFormatting sqref="X4:X11">
    <cfRule type="cellIs" dxfId="3" priority="2" operator="greaterThan">
      <formula>0</formula>
    </cfRule>
    <cfRule type="cellIs" dxfId="2" priority="4" operator="greaterThan">
      <formula>1</formula>
    </cfRule>
  </conditionalFormatting>
  <conditionalFormatting sqref="AC4:AC11">
    <cfRule type="cellIs" dxfId="1" priority="1" operator="greaterThan">
      <formula>0</formula>
    </cfRule>
    <cfRule type="cellIs" dxfId="0" priority="3" operator="greaterThan">
      <formula>1</formula>
    </cfRule>
  </conditionalFormatting>
  <printOptions horizontalCentered="1"/>
  <pageMargins left="0.23622047244094491" right="0.23622047244094491" top="0.19685039370078741" bottom="0.35433070866141736" header="0.31496062992125984" footer="0.15748031496062992"/>
  <pageSetup paperSize="9" scale="70" orientation="landscape" r:id="rId1"/>
  <headerFooter>
    <oddFooter>&amp;L* ในการแข่งขันมีการถ่ายภาพ และบันทึกภาพเคลื่อนไหว รวมไปถึงการถ่ายทอดสดผ่านทางเพจกลุ่มแม่ขนิลคลับ&amp;RPage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MKN Slip</vt:lpstr>
      <vt:lpstr>(3)Summary Finished</vt:lpstr>
      <vt:lpstr>(2)Check In</vt:lpstr>
      <vt:lpstr>(1)Check Bib</vt:lpstr>
      <vt:lpstr>Runner List</vt:lpstr>
      <vt:lpstr>'(3)Summary Finished'!Print_Area</vt:lpstr>
      <vt:lpstr>'MKN Slip'!Print_Area</vt:lpstr>
      <vt:lpstr>'Runner List'!Print_Area</vt:lpstr>
      <vt:lpstr>'(3)Summary Finished'!Print_Titles</vt:lpstr>
      <vt:lpstr>'Runner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prod-sup20</dc:creator>
  <cp:lastModifiedBy>Sermsak Thipan</cp:lastModifiedBy>
  <cp:lastPrinted>2026-07-03T19:53:41Z</cp:lastPrinted>
  <dcterms:created xsi:type="dcterms:W3CDTF">2023-11-27T02:14:07Z</dcterms:created>
  <dcterms:modified xsi:type="dcterms:W3CDTF">2026-07-04T09:08:45Z</dcterms:modified>
</cp:coreProperties>
</file>